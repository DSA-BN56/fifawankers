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U\Downloads\"/>
    </mc:Choice>
  </mc:AlternateContent>
  <xr:revisionPtr revIDLastSave="0" documentId="13_ncr:1_{939C8A88-998C-43E3-98F8-56586688BAA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CORE SHEET" sheetId="1" r:id="rId1"/>
    <sheet name="RULES" sheetId="2" r:id="rId2"/>
    <sheet name="FIXTURE" sheetId="3" r:id="rId3"/>
    <sheet name="RANK 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4" l="1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2" i="1" s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<sst xmlns="http://schemas.openxmlformats.org/spreadsheetml/2006/main" count="557" uniqueCount="213">
  <si>
    <t>NAME</t>
  </si>
  <si>
    <t>COUNT</t>
  </si>
  <si>
    <t>MATCH</t>
  </si>
  <si>
    <t>TOTAL GOALS</t>
  </si>
  <si>
    <t>QF1</t>
  </si>
  <si>
    <t>QF2</t>
  </si>
  <si>
    <t>QF3</t>
  </si>
  <si>
    <t>QF4</t>
  </si>
  <si>
    <t>ABU (ECE)</t>
  </si>
  <si>
    <t>SEN</t>
  </si>
  <si>
    <t>NOR</t>
  </si>
  <si>
    <t>ARG</t>
  </si>
  <si>
    <t>DRA</t>
  </si>
  <si>
    <t>POR</t>
  </si>
  <si>
    <t>ABY (ECE)</t>
  </si>
  <si>
    <t>FRA</t>
  </si>
  <si>
    <t>AUS</t>
  </si>
  <si>
    <t>AJITH (ME)</t>
  </si>
  <si>
    <t>ALBIN (ECE)</t>
  </si>
  <si>
    <t>ANISH J (ME)</t>
  </si>
  <si>
    <t>ANISH SAM (EEE)</t>
  </si>
  <si>
    <t>ANSON (ECE)</t>
  </si>
  <si>
    <t>DEEPU (ECE)</t>
  </si>
  <si>
    <t>EBEN (EEE)</t>
  </si>
  <si>
    <t>ELDHO (EEE)</t>
  </si>
  <si>
    <t>GEORGE J (ME)</t>
  </si>
  <si>
    <t>GEORGE T (ECE)</t>
  </si>
  <si>
    <t>IRAQ</t>
  </si>
  <si>
    <t>JACOB J (CSE)</t>
  </si>
  <si>
    <t>JEFFIN (EEE)</t>
  </si>
  <si>
    <t>JINU M (ECE)</t>
  </si>
  <si>
    <t>JOBY (ECE)</t>
  </si>
  <si>
    <t>JOYAL (EEE)</t>
  </si>
  <si>
    <t>NIDHIN (ECE)</t>
  </si>
  <si>
    <t>PRASEETH (ECE)</t>
  </si>
  <si>
    <t>PRASHANTH (EEE)</t>
  </si>
  <si>
    <t>RAKESH (ECE)</t>
  </si>
  <si>
    <t>RATHISH (ME)</t>
  </si>
  <si>
    <t>RESHMA (CSE)</t>
  </si>
  <si>
    <t>SAJI (ECE)</t>
  </si>
  <si>
    <t>SHIJO (ECE)</t>
  </si>
  <si>
    <t>SURAJ (CSE)</t>
  </si>
  <si>
    <t>TIBIN (EEE)</t>
  </si>
  <si>
    <t>VARSHA (ECE)</t>
  </si>
  <si>
    <t>VINEESH (ECE)</t>
  </si>
  <si>
    <t>VINU (EEE)</t>
  </si>
  <si>
    <t>RULES:</t>
  </si>
  <si>
    <t>1.If your prediction is correct you will score +2 goals for league matches and +3 goals for ROUND OF 32, ROUND OF 16  &amp; QUARTER FINAL matches.</t>
  </si>
  <si>
    <t xml:space="preserve">2. Edited answers are invalid,IF there are 2 or more replies first submission will be taken. </t>
  </si>
  <si>
    <t>3. Those who predict after the time will be disqualified for that match.</t>
  </si>
  <si>
    <t>4.There will be 5 bumper questions, which will score +20 goals for the correct answer &amp; and -5 goals for the wrong answer. Bumper question's answers should be reached in the group before the cut of time mentioned. All answers should be there in the bumper questions; if u answer only 4,3,2 or 1, your answer will be disqualified.</t>
  </si>
  <si>
    <t>5.In group stage, if the RESULT is draw, those who attempted will get +1 goal.</t>
  </si>
  <si>
    <t>6.If a match is abandoned, those who attempted with 1 answer will get +1 goal each.</t>
  </si>
  <si>
    <t>7. There will not be any separate questions for SEMI FINALS &amp; FINAL.</t>
  </si>
  <si>
    <t>Bumper questions:</t>
  </si>
  <si>
    <t>1. who will win this World CUP?</t>
  </si>
  <si>
    <t xml:space="preserve"> </t>
  </si>
  <si>
    <t>2. who will be the Runners-up?</t>
  </si>
  <si>
    <t>3. Who will finish third ?</t>
  </si>
  <si>
    <t>4. who will get the Golden Glove ? ( The Golden Glove award goes to the top goalkeeper of the tournament based on the player's performance throughout the final competition.)</t>
  </si>
  <si>
    <t>5. who will get the Golden Boot ? (The Golden Boot goes to the top goalscorer of the FIFA World Cup. In cases of a tie, it goes to the player who has contributed the most number of assists.)</t>
  </si>
  <si>
    <t>Match No.</t>
  </si>
  <si>
    <t>Date</t>
  </si>
  <si>
    <t>Day</t>
  </si>
  <si>
    <t>Time (IST)</t>
  </si>
  <si>
    <t>Fixture</t>
  </si>
  <si>
    <t>Venue</t>
  </si>
  <si>
    <t>Friday</t>
  </si>
  <si>
    <t>Mexico vs South Africa</t>
  </si>
  <si>
    <t>Mexico City</t>
  </si>
  <si>
    <t>South Korea vs Czechia</t>
  </si>
  <si>
    <t>Zapopan</t>
  </si>
  <si>
    <t>Saturday</t>
  </si>
  <si>
    <t>Canada vs Bosnia and Herzegovina</t>
  </si>
  <si>
    <t>Toronto</t>
  </si>
  <si>
    <t>USA vs Paraguay</t>
  </si>
  <si>
    <t>Los Angeles</t>
  </si>
  <si>
    <t>Sunday</t>
  </si>
  <si>
    <t>Qatar vs Switzerland</t>
  </si>
  <si>
    <t>Santa Clara</t>
  </si>
  <si>
    <t>Brazil vs Morocco</t>
  </si>
  <si>
    <t>New Jersey</t>
  </si>
  <si>
    <t>Haiti vs Scotland</t>
  </si>
  <si>
    <t>Foxborough</t>
  </si>
  <si>
    <t>Australia vs Turkey</t>
  </si>
  <si>
    <t>Vancouver</t>
  </si>
  <si>
    <t>Germany vs Curaçao</t>
  </si>
  <si>
    <t>Houston</t>
  </si>
  <si>
    <t>Monday</t>
  </si>
  <si>
    <t>Netherlands vs Japan</t>
  </si>
  <si>
    <t>Arlington</t>
  </si>
  <si>
    <t>Ivory Coast vs Ecuador</t>
  </si>
  <si>
    <t>Philadelphia</t>
  </si>
  <si>
    <t>Sweden vs Tunisia</t>
  </si>
  <si>
    <t>Guadalajara</t>
  </si>
  <si>
    <t>Spain vs Cape Verde</t>
  </si>
  <si>
    <t>Atlanta</t>
  </si>
  <si>
    <t>Tuesday</t>
  </si>
  <si>
    <t>Belgium vs Egypt</t>
  </si>
  <si>
    <t>Seattle</t>
  </si>
  <si>
    <t>Saudi Arabia vs Uruguay</t>
  </si>
  <si>
    <t>Miami</t>
  </si>
  <si>
    <t>Iran vs New Zealand</t>
  </si>
  <si>
    <t>Wednesday</t>
  </si>
  <si>
    <t>France vs Senegal</t>
  </si>
  <si>
    <t>Iraq vs Norway</t>
  </si>
  <si>
    <t>Argentina vs Algeria</t>
  </si>
  <si>
    <t>Kansas City</t>
  </si>
  <si>
    <t>Austria vs Jordan</t>
  </si>
  <si>
    <t>Portugal vs DR Congo</t>
  </si>
  <si>
    <t>Thursday</t>
  </si>
  <si>
    <t>England vs Croatia</t>
  </si>
  <si>
    <t>Ghana vs Panama</t>
  </si>
  <si>
    <t>Uzbekistan vs Colombia</t>
  </si>
  <si>
    <t>Czechia vs South Africa</t>
  </si>
  <si>
    <t>Switzerland vs Bosnia and Herzegovina</t>
  </si>
  <si>
    <t>Canada vs Qatar</t>
  </si>
  <si>
    <t>Mexico vs South Korea</t>
  </si>
  <si>
    <t>USA vs Australia</t>
  </si>
  <si>
    <t>Scotland vs Morocco</t>
  </si>
  <si>
    <t>Brazil vs Haiti</t>
  </si>
  <si>
    <t>Turkey vs Paraguay</t>
  </si>
  <si>
    <t>Netherlands vs Sweden</t>
  </si>
  <si>
    <t>Germany vs Ivory Coast</t>
  </si>
  <si>
    <t>Ecuador vs Curaçao</t>
  </si>
  <si>
    <t>Tunisia vs Japan</t>
  </si>
  <si>
    <t>Spain vs Saudi Arabia</t>
  </si>
  <si>
    <t>Belgium vs Iran</t>
  </si>
  <si>
    <t>Uruguay vs Cape Verde</t>
  </si>
  <si>
    <t>New Zealand vs Egypt</t>
  </si>
  <si>
    <t>Argentina vs Austria</t>
  </si>
  <si>
    <t>France vs Iraq</t>
  </si>
  <si>
    <t>Norway vs Senegal</t>
  </si>
  <si>
    <t>Jordan vs Algeria</t>
  </si>
  <si>
    <t>Portugal vs Uzbekistan</t>
  </si>
  <si>
    <t>England vs Ghana</t>
  </si>
  <si>
    <t>Panama vs Croatia</t>
  </si>
  <si>
    <t>Colombia vs DR Congo</t>
  </si>
  <si>
    <t>Switzerland vs Canada</t>
  </si>
  <si>
    <t>Bosnia and Herzegovina vs Qatar</t>
  </si>
  <si>
    <t>Morocco vs Haiti</t>
  </si>
  <si>
    <t>Scotland vs Brazil</t>
  </si>
  <si>
    <t>South Africa vs South Korea</t>
  </si>
  <si>
    <t>Czechia vs Mexico</t>
  </si>
  <si>
    <t>Curaçao vs Ivory Coast</t>
  </si>
  <si>
    <t>Ecuador vs Germany</t>
  </si>
  <si>
    <t>Tunisia vs Netherlands</t>
  </si>
  <si>
    <t>Japan vs Sweden</t>
  </si>
  <si>
    <t>Turkey vs USA</t>
  </si>
  <si>
    <t>Paraguay vs Australia</t>
  </si>
  <si>
    <t>Norway vs France</t>
  </si>
  <si>
    <t>Senegal vs Iraq</t>
  </si>
  <si>
    <t>Cape Verde vs Saudi Arabia</t>
  </si>
  <si>
    <t>Uruguay vs Spain</t>
  </si>
  <si>
    <t>New Zealand vs Belgium</t>
  </si>
  <si>
    <t>Egypt vs Iran</t>
  </si>
  <si>
    <t>Panama vs England</t>
  </si>
  <si>
    <t>Croatia vs Ghana</t>
  </si>
  <si>
    <t>Colombia vs Portugal</t>
  </si>
  <si>
    <t>DR Congo vs Uzbekistan</t>
  </si>
  <si>
    <t>Algeria vs Austria</t>
  </si>
  <si>
    <t>Jordan vs Argentina</t>
  </si>
  <si>
    <t>Round of 32: Group A Runners-up vs Group B Runners-up</t>
  </si>
  <si>
    <t>Round of 32: Group C Winners vs Group F Runners-up</t>
  </si>
  <si>
    <t>Round of 32: Group E Winners vs Best Third-Placed Team</t>
  </si>
  <si>
    <t>Round of 32: Group F Winners vs Group C Runners-up</t>
  </si>
  <si>
    <t>Round of 32: Group E Runners-up vs Group I Runners-up</t>
  </si>
  <si>
    <t>Round of 32: Group I Winners vs Best Third-Placed Team</t>
  </si>
  <si>
    <t>Round of 32: Group A Winners vs Best Third-Placed Team</t>
  </si>
  <si>
    <t>Round of 32: Group L Winners vs Best Third-Placed Team</t>
  </si>
  <si>
    <t>Round of 32: Group G Winners vs Best Third-Placed Team</t>
  </si>
  <si>
    <t>Round of 32: Group D Winners vs Best Third-Placed Team</t>
  </si>
  <si>
    <t>Round of 32: Group H Winners vs Group J Runners-up</t>
  </si>
  <si>
    <t>Round of 32: Group K Runners-up vs Group L Runners-up</t>
  </si>
  <si>
    <t>Round of 32: Group B Winners vs Best Third-Placed Team</t>
  </si>
  <si>
    <t>Round of 32: Group D Runners-up vs Group G Runners-up</t>
  </si>
  <si>
    <t>Round of 32: Group J Winners vs Group H Runners-up</t>
  </si>
  <si>
    <t>Round of 32: Group K Winners vs Best Third-Placed Team</t>
  </si>
  <si>
    <t>Round of 16: Winner Match 73 vs Winner Match 75</t>
  </si>
  <si>
    <t>Round of 16: Winner Match 74 vs Winner Match 77</t>
  </si>
  <si>
    <t>Round of 16: Winner Match 76 vs Winner Match 78</t>
  </si>
  <si>
    <t>Round of 16: Winner Match 79 vs Winner Match 80</t>
  </si>
  <si>
    <t>Round of 16: Winner Match 83 vs Winner Match 84</t>
  </si>
  <si>
    <t>Round of 16: Winner Match 81 vs Winner Match 82</t>
  </si>
  <si>
    <t>Round of 16: Winner Match 86 vs Winner Match 88</t>
  </si>
  <si>
    <t>Round of 16: Winner Match 85 vs Winner Match 87</t>
  </si>
  <si>
    <t>Quarter-final: Winner Match 89 vs Winner Match 90</t>
  </si>
  <si>
    <t>Quarter-final: Winner Match 93 vs Winner Match 94</t>
  </si>
  <si>
    <t>Quarter-final: Winner Match 91 vs Winner Match 92</t>
  </si>
  <si>
    <t>Quarter-final: Winner Match 95 vs Winner Match 96</t>
  </si>
  <si>
    <t>Semi-final 1: Winner Match 97 vs Winner Match 98</t>
  </si>
  <si>
    <t>Semi-final 2: Winner Match 99 vs Winner Match 100</t>
  </si>
  <si>
    <t>Third-Place Match: Loser Match 101 vs Loser Match 102</t>
  </si>
  <si>
    <t>Final: Winner Match 101 vs Winner Match 102</t>
  </si>
  <si>
    <t>*AFTER 1⃣6⃣MATCHES*</t>
  </si>
  <si>
    <t>PARTICIPANTS</t>
  </si>
  <si>
    <t>*30*</t>
  </si>
  <si>
    <t>*RANK*</t>
  </si>
  <si>
    <t>*NAME*</t>
  </si>
  <si>
    <t>*TOTAL GOALS*</t>
  </si>
  <si>
    <t>Winner</t>
  </si>
  <si>
    <t>Mexico</t>
  </si>
  <si>
    <t>USA</t>
  </si>
  <si>
    <t>Australia</t>
  </si>
  <si>
    <t>Germany</t>
  </si>
  <si>
    <t>Sweden</t>
  </si>
  <si>
    <t>France</t>
  </si>
  <si>
    <t>Argentina</t>
  </si>
  <si>
    <t>South Korea</t>
  </si>
  <si>
    <t>Ivory Coast</t>
  </si>
  <si>
    <t>DRAW</t>
  </si>
  <si>
    <t>Scotland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</si>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</sst>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Roboto"/>
    </font>
    <font>
      <sz val="11"/>
      <color rgb="FF333333"/>
      <name val="&quot;Helvetica Neue&quot;"/>
    </font>
    <font>
      <sz val="10"/>
      <color theme="1"/>
      <name val="Arial"/>
      <scheme val="minor"/>
    </font>
    <font>
      <b/>
      <i/>
      <sz val="10"/>
      <color rgb="FF1155CC"/>
      <name val="Arial"/>
    </font>
    <font>
      <strike/>
      <sz val="10"/>
      <color theme="1"/>
      <name val="Arial"/>
      <scheme val="minor"/>
    </font>
    <font>
      <sz val="10"/>
      <color rgb="FF6A6C6C"/>
      <name val="Arial"/>
    </font>
    <font>
      <sz val="10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/>
    <xf numFmtId="0" fontId="2" fillId="0" borderId="0" xfId="0" applyFont="1"/>
    <xf numFmtId="0" fontId="5" fillId="0" borderId="1" xfId="0" applyFont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0" borderId="2" xfId="0" applyFont="1" applyBorder="1"/>
    <xf numFmtId="0" fontId="5" fillId="0" borderId="3" xfId="0" applyFont="1" applyBorder="1"/>
    <xf numFmtId="0" fontId="2" fillId="0" borderId="3" xfId="0" applyFont="1" applyBorder="1" applyAlignment="1">
      <alignment horizontal="center"/>
    </xf>
    <xf numFmtId="0" fontId="5" fillId="0" borderId="0" xfId="0" applyFont="1"/>
    <xf numFmtId="0" fontId="7" fillId="0" borderId="1" xfId="0" applyFont="1" applyBorder="1"/>
    <xf numFmtId="0" fontId="2" fillId="2" borderId="3" xfId="0" applyFont="1" applyFill="1" applyBorder="1"/>
    <xf numFmtId="0" fontId="5" fillId="0" borderId="4" xfId="0" applyFont="1" applyBorder="1"/>
    <xf numFmtId="0" fontId="2" fillId="0" borderId="4" xfId="0" applyFont="1" applyBorder="1"/>
    <xf numFmtId="0" fontId="5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5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9" fillId="0" borderId="0" xfId="0" applyFont="1"/>
    <xf numFmtId="164" fontId="8" fillId="0" borderId="0" xfId="0" applyNumberFormat="1" applyFont="1" applyAlignment="1">
      <alignment horizontal="center" vertical="top"/>
    </xf>
    <xf numFmtId="18" fontId="8" fillId="0" borderId="0" xfId="0" applyNumberFormat="1" applyFont="1" applyAlignment="1">
      <alignment horizontal="center" vertical="top"/>
    </xf>
    <xf numFmtId="0" fontId="10" fillId="2" borderId="0" xfId="0" applyFont="1" applyFill="1" applyAlignment="1">
      <alignment horizontal="left"/>
    </xf>
    <xf numFmtId="164" fontId="10" fillId="2" borderId="0" xfId="0" applyNumberFormat="1" applyFont="1" applyFill="1" applyAlignment="1">
      <alignment horizontal="left"/>
    </xf>
    <xf numFmtId="18" fontId="10" fillId="2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left"/>
    </xf>
    <xf numFmtId="164" fontId="10" fillId="3" borderId="0" xfId="0" applyNumberFormat="1" applyFont="1" applyFill="1" applyAlignment="1">
      <alignment horizontal="left"/>
    </xf>
    <xf numFmtId="18" fontId="10" fillId="3" borderId="0" xfId="0" applyNumberFormat="1" applyFont="1" applyFill="1" applyAlignment="1">
      <alignment horizontal="left"/>
    </xf>
    <xf numFmtId="164" fontId="9" fillId="0" borderId="0" xfId="0" applyNumberFormat="1" applyFont="1"/>
    <xf numFmtId="18" fontId="9" fillId="0" borderId="0" xfId="0" applyNumberFormat="1" applyFont="1"/>
    <xf numFmtId="0" fontId="5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1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703125" defaultRowHeight="15.75" customHeight="1"/>
  <cols>
    <col min="1" max="1" width="12" customWidth="1"/>
    <col min="2" max="2" width="8.7109375" customWidth="1"/>
    <col min="3" max="6" width="2.5703125" customWidth="1"/>
    <col min="7" max="8" width="5.140625" customWidth="1"/>
    <col min="9" max="9" width="8" customWidth="1"/>
    <col min="10" max="10" width="6.5703125" customWidth="1"/>
    <col min="11" max="11" width="5.140625" customWidth="1"/>
    <col min="12" max="12" width="3.85546875" customWidth="1"/>
    <col min="13" max="13" width="3.7109375" customWidth="1"/>
    <col min="14" max="14" width="4.28515625" customWidth="1"/>
    <col min="15" max="15" width="7" customWidth="1"/>
    <col min="16" max="17" width="4.42578125" customWidth="1"/>
    <col min="18" max="18" width="4.5703125" customWidth="1"/>
    <col min="19" max="19" width="10.28515625" customWidth="1"/>
    <col min="20" max="20" width="9.85546875" customWidth="1"/>
    <col min="21" max="21" width="7.85546875" customWidth="1"/>
    <col min="22" max="22" width="7.7109375" customWidth="1"/>
    <col min="23" max="23" width="7" customWidth="1"/>
    <col min="24" max="62" width="3.28515625" customWidth="1"/>
    <col min="63" max="63" width="4.42578125" customWidth="1"/>
  </cols>
  <sheetData>
    <row r="1" spans="1:63" ht="14.25">
      <c r="A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  <c r="V1" s="5"/>
      <c r="W1" s="5"/>
      <c r="X1" s="5"/>
      <c r="Y1" s="5"/>
      <c r="Z1" s="5"/>
      <c r="AA1" s="3"/>
      <c r="AB1" s="5"/>
      <c r="AC1" s="5"/>
      <c r="AD1" s="5"/>
      <c r="AE1" s="5"/>
      <c r="AF1" s="5"/>
      <c r="AG1" s="6"/>
      <c r="AH1" s="5"/>
      <c r="AI1" s="3"/>
      <c r="AJ1" s="5"/>
      <c r="AK1" s="5"/>
      <c r="AL1" s="5"/>
      <c r="AM1" s="5"/>
      <c r="AN1" s="5"/>
      <c r="AO1" s="5"/>
      <c r="AP1" s="5"/>
      <c r="AQ1" s="5"/>
      <c r="AR1" s="5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2" spans="1:63" ht="12.75">
      <c r="A2" s="7" t="s">
        <v>1</v>
      </c>
      <c r="B2" s="8">
        <f t="shared" ref="B2:BJ2" si="0">COUNTA(B4:B112)</f>
        <v>30</v>
      </c>
      <c r="C2" s="8">
        <f t="shared" si="0"/>
        <v>19</v>
      </c>
      <c r="D2" s="8">
        <f t="shared" si="0"/>
        <v>21</v>
      </c>
      <c r="E2" s="8">
        <f t="shared" si="0"/>
        <v>28</v>
      </c>
      <c r="F2" s="8">
        <f t="shared" si="0"/>
        <v>28</v>
      </c>
      <c r="G2" s="8">
        <f t="shared" si="0"/>
        <v>26</v>
      </c>
      <c r="H2" s="8">
        <f t="shared" si="0"/>
        <v>27</v>
      </c>
      <c r="I2" s="8">
        <f t="shared" si="0"/>
        <v>27</v>
      </c>
      <c r="J2" s="8">
        <f t="shared" si="0"/>
        <v>27</v>
      </c>
      <c r="K2" s="8">
        <f t="shared" si="0"/>
        <v>29</v>
      </c>
      <c r="L2" s="8">
        <f t="shared" si="0"/>
        <v>28</v>
      </c>
      <c r="M2" s="8">
        <f t="shared" si="0"/>
        <v>27</v>
      </c>
      <c r="N2" s="8">
        <f t="shared" si="0"/>
        <v>28</v>
      </c>
      <c r="O2" s="8">
        <f t="shared" si="0"/>
        <v>29</v>
      </c>
      <c r="P2" s="8">
        <f t="shared" si="0"/>
        <v>30</v>
      </c>
      <c r="Q2" s="8">
        <f t="shared" si="0"/>
        <v>30</v>
      </c>
      <c r="R2" s="8">
        <f t="shared" si="0"/>
        <v>30</v>
      </c>
      <c r="S2" s="8">
        <f t="shared" si="0"/>
        <v>26</v>
      </c>
      <c r="T2" s="8">
        <f t="shared" si="0"/>
        <v>26</v>
      </c>
      <c r="U2" s="8">
        <f t="shared" si="0"/>
        <v>26</v>
      </c>
      <c r="V2" s="8">
        <f t="shared" si="0"/>
        <v>26</v>
      </c>
      <c r="W2" s="8">
        <f t="shared" si="0"/>
        <v>26</v>
      </c>
      <c r="X2" s="8">
        <f t="shared" si="0"/>
        <v>0</v>
      </c>
      <c r="Y2" s="8">
        <f t="shared" si="0"/>
        <v>0</v>
      </c>
      <c r="Z2" s="8">
        <f t="shared" si="0"/>
        <v>0</v>
      </c>
      <c r="AA2" s="8">
        <f t="shared" si="0"/>
        <v>0</v>
      </c>
      <c r="AB2" s="8">
        <f t="shared" si="0"/>
        <v>0</v>
      </c>
      <c r="AC2" s="8">
        <f t="shared" si="0"/>
        <v>0</v>
      </c>
      <c r="AD2" s="8">
        <f t="shared" si="0"/>
        <v>0</v>
      </c>
      <c r="AE2" s="8">
        <f t="shared" si="0"/>
        <v>0</v>
      </c>
      <c r="AF2" s="8">
        <f t="shared" si="0"/>
        <v>0</v>
      </c>
      <c r="AG2" s="8">
        <f t="shared" si="0"/>
        <v>0</v>
      </c>
      <c r="AH2" s="8">
        <f t="shared" si="0"/>
        <v>0</v>
      </c>
      <c r="AI2" s="8">
        <f t="shared" si="0"/>
        <v>0</v>
      </c>
      <c r="AJ2" s="8">
        <f t="shared" si="0"/>
        <v>0</v>
      </c>
      <c r="AK2" s="8">
        <f t="shared" si="0"/>
        <v>0</v>
      </c>
      <c r="AL2" s="8">
        <f t="shared" si="0"/>
        <v>0</v>
      </c>
      <c r="AM2" s="8">
        <f t="shared" si="0"/>
        <v>0</v>
      </c>
      <c r="AN2" s="8">
        <f t="shared" si="0"/>
        <v>0</v>
      </c>
      <c r="AO2" s="8">
        <f t="shared" si="0"/>
        <v>0</v>
      </c>
      <c r="AP2" s="8">
        <f t="shared" si="0"/>
        <v>0</v>
      </c>
      <c r="AQ2" s="8">
        <f t="shared" si="0"/>
        <v>0</v>
      </c>
      <c r="AR2" s="8">
        <f t="shared" si="0"/>
        <v>0</v>
      </c>
      <c r="AS2" s="8">
        <f t="shared" si="0"/>
        <v>0</v>
      </c>
      <c r="AT2" s="8">
        <f t="shared" si="0"/>
        <v>0</v>
      </c>
      <c r="AU2" s="8">
        <f t="shared" si="0"/>
        <v>0</v>
      </c>
      <c r="AV2" s="8">
        <f t="shared" si="0"/>
        <v>0</v>
      </c>
      <c r="AW2" s="8">
        <f t="shared" si="0"/>
        <v>0</v>
      </c>
      <c r="AX2" s="8">
        <f t="shared" si="0"/>
        <v>0</v>
      </c>
      <c r="AY2" s="8">
        <f t="shared" si="0"/>
        <v>0</v>
      </c>
      <c r="AZ2" s="8">
        <f t="shared" si="0"/>
        <v>0</v>
      </c>
      <c r="BA2" s="8">
        <f t="shared" si="0"/>
        <v>0</v>
      </c>
      <c r="BB2" s="8">
        <f t="shared" si="0"/>
        <v>0</v>
      </c>
      <c r="BC2" s="8">
        <f t="shared" si="0"/>
        <v>0</v>
      </c>
      <c r="BD2" s="8">
        <f t="shared" si="0"/>
        <v>0</v>
      </c>
      <c r="BE2" s="8">
        <f t="shared" si="0"/>
        <v>0</v>
      </c>
      <c r="BF2" s="8">
        <f t="shared" si="0"/>
        <v>0</v>
      </c>
      <c r="BG2" s="8">
        <f t="shared" si="0"/>
        <v>0</v>
      </c>
      <c r="BH2" s="8">
        <f t="shared" si="0"/>
        <v>0</v>
      </c>
      <c r="BI2" s="8">
        <f t="shared" si="0"/>
        <v>0</v>
      </c>
      <c r="BJ2" s="8">
        <f t="shared" si="0"/>
        <v>0</v>
      </c>
      <c r="BK2" s="8"/>
    </row>
    <row r="3" spans="1:63" ht="12.75">
      <c r="A3" s="9" t="s">
        <v>2</v>
      </c>
      <c r="B3" s="3" t="s">
        <v>3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0">
        <v>12</v>
      </c>
      <c r="O3" s="10">
        <v>13</v>
      </c>
      <c r="P3" s="10">
        <v>14</v>
      </c>
      <c r="Q3" s="10">
        <v>15</v>
      </c>
      <c r="R3" s="10">
        <v>16</v>
      </c>
      <c r="S3" s="10">
        <v>17</v>
      </c>
      <c r="T3" s="10">
        <v>18</v>
      </c>
      <c r="U3" s="10">
        <v>19</v>
      </c>
      <c r="V3" s="10">
        <v>20</v>
      </c>
      <c r="W3" s="10">
        <v>21</v>
      </c>
      <c r="X3" s="10">
        <v>22</v>
      </c>
      <c r="Y3" s="10">
        <v>23</v>
      </c>
      <c r="Z3" s="10">
        <v>24</v>
      </c>
      <c r="AA3" s="10">
        <v>25</v>
      </c>
      <c r="AB3" s="10">
        <v>26</v>
      </c>
      <c r="AC3" s="10">
        <v>27</v>
      </c>
      <c r="AD3" s="10">
        <v>28</v>
      </c>
      <c r="AE3" s="10">
        <v>29</v>
      </c>
      <c r="AF3" s="10">
        <v>30</v>
      </c>
      <c r="AG3" s="10">
        <v>31</v>
      </c>
      <c r="AH3" s="10">
        <v>32</v>
      </c>
      <c r="AI3" s="10">
        <v>33</v>
      </c>
      <c r="AJ3" s="10">
        <v>34</v>
      </c>
      <c r="AK3" s="10">
        <v>35</v>
      </c>
      <c r="AL3" s="10">
        <v>36</v>
      </c>
      <c r="AM3" s="10">
        <v>37</v>
      </c>
      <c r="AN3" s="10">
        <v>38</v>
      </c>
      <c r="AO3" s="10">
        <v>39</v>
      </c>
      <c r="AP3" s="10">
        <v>40</v>
      </c>
      <c r="AQ3" s="10">
        <v>41</v>
      </c>
      <c r="AR3" s="10">
        <v>42</v>
      </c>
      <c r="AS3" s="10">
        <v>43</v>
      </c>
      <c r="AT3" s="10">
        <v>44</v>
      </c>
      <c r="AU3" s="10">
        <v>45</v>
      </c>
      <c r="AV3" s="10">
        <v>46</v>
      </c>
      <c r="AW3" s="10">
        <v>47</v>
      </c>
      <c r="AX3" s="10">
        <v>48</v>
      </c>
      <c r="AY3" s="10">
        <v>49</v>
      </c>
      <c r="AZ3" s="10">
        <v>50</v>
      </c>
      <c r="BA3" s="10">
        <v>51</v>
      </c>
      <c r="BB3" s="10">
        <v>52</v>
      </c>
      <c r="BC3" s="10">
        <v>53</v>
      </c>
      <c r="BD3" s="10">
        <v>54</v>
      </c>
      <c r="BE3" s="10">
        <v>55</v>
      </c>
      <c r="BF3" s="10">
        <v>56</v>
      </c>
      <c r="BG3" s="10" t="s">
        <v>4</v>
      </c>
      <c r="BH3" s="10" t="s">
        <v>5</v>
      </c>
      <c r="BI3" s="10" t="s">
        <v>6</v>
      </c>
      <c r="BJ3" s="10" t="s">
        <v>7</v>
      </c>
      <c r="BK3" s="10"/>
    </row>
    <row r="4" spans="1:63" ht="12.75">
      <c r="A4" s="11" t="s">
        <v>8</v>
      </c>
      <c r="B4" s="12">
        <f t="shared" ref="B4:B33" si="1">SUM(C4:BJ4)</f>
        <v>21</v>
      </c>
      <c r="C4" s="12">
        <v>-1</v>
      </c>
      <c r="D4" s="11">
        <v>2</v>
      </c>
      <c r="E4" s="13">
        <v>1</v>
      </c>
      <c r="F4" s="12">
        <v>2</v>
      </c>
      <c r="G4" s="12">
        <v>1</v>
      </c>
      <c r="H4" s="12">
        <v>1</v>
      </c>
      <c r="I4" s="12">
        <v>2</v>
      </c>
      <c r="J4" s="12">
        <v>2</v>
      </c>
      <c r="K4" s="13">
        <v>2</v>
      </c>
      <c r="L4" s="14">
        <v>1</v>
      </c>
      <c r="M4" s="14">
        <v>2</v>
      </c>
      <c r="N4" s="12">
        <v>2</v>
      </c>
      <c r="O4" s="12">
        <v>1</v>
      </c>
      <c r="P4" s="11">
        <v>1</v>
      </c>
      <c r="Q4" s="11">
        <v>1</v>
      </c>
      <c r="R4" s="11">
        <v>1</v>
      </c>
      <c r="S4" s="11" t="s">
        <v>9</v>
      </c>
      <c r="T4" s="15" t="s">
        <v>10</v>
      </c>
      <c r="U4" s="15" t="s">
        <v>11</v>
      </c>
      <c r="V4" s="11" t="s">
        <v>12</v>
      </c>
      <c r="W4" s="15" t="s">
        <v>13</v>
      </c>
      <c r="X4" s="15"/>
      <c r="Y4" s="15"/>
      <c r="Z4" s="15"/>
      <c r="AA4" s="15"/>
      <c r="AB4" s="14"/>
      <c r="AC4" s="11"/>
      <c r="AD4" s="11"/>
      <c r="AE4" s="11"/>
      <c r="AF4" s="15"/>
      <c r="AG4" s="15"/>
      <c r="AH4" s="11"/>
      <c r="AI4" s="15"/>
      <c r="AJ4" s="15"/>
      <c r="AK4" s="12"/>
      <c r="AL4" s="15"/>
      <c r="AM4" s="14"/>
      <c r="AN4" s="11"/>
      <c r="AO4" s="11"/>
      <c r="AP4" s="11"/>
      <c r="AQ4" s="15"/>
      <c r="AR4" s="15"/>
      <c r="AS4" s="16"/>
      <c r="AT4" s="11"/>
      <c r="AU4" s="11"/>
      <c r="AV4" s="11"/>
      <c r="AW4" s="11"/>
      <c r="AX4" s="11"/>
      <c r="AY4" s="16"/>
      <c r="AZ4" s="16"/>
      <c r="BA4" s="11"/>
      <c r="BB4" s="11"/>
      <c r="BC4" s="11"/>
      <c r="BD4" s="11"/>
      <c r="BE4" s="14"/>
      <c r="BF4" s="17"/>
      <c r="BG4" s="14"/>
      <c r="BH4" s="14"/>
      <c r="BI4" s="14"/>
      <c r="BJ4" s="14"/>
      <c r="BK4" s="18"/>
    </row>
    <row r="5" spans="1:63" ht="12.75">
      <c r="A5" s="11" t="s">
        <v>14</v>
      </c>
      <c r="B5" s="12">
        <f t="shared" si="1"/>
        <v>16</v>
      </c>
      <c r="C5" s="13"/>
      <c r="D5" s="11">
        <v>2</v>
      </c>
      <c r="E5" s="13">
        <v>1</v>
      </c>
      <c r="F5" s="13">
        <v>-1</v>
      </c>
      <c r="G5" s="12">
        <v>1</v>
      </c>
      <c r="H5" s="12">
        <v>1</v>
      </c>
      <c r="I5" s="12">
        <v>2</v>
      </c>
      <c r="J5" s="12">
        <v>2</v>
      </c>
      <c r="K5" s="13">
        <v>2</v>
      </c>
      <c r="L5" s="14">
        <v>1</v>
      </c>
      <c r="M5" s="12">
        <v>-1</v>
      </c>
      <c r="N5" s="12">
        <v>2</v>
      </c>
      <c r="O5" s="12">
        <v>1</v>
      </c>
      <c r="P5" s="11">
        <v>1</v>
      </c>
      <c r="Q5" s="11">
        <v>1</v>
      </c>
      <c r="R5" s="11">
        <v>1</v>
      </c>
      <c r="S5" s="14" t="s">
        <v>15</v>
      </c>
      <c r="T5" s="15" t="s">
        <v>10</v>
      </c>
      <c r="U5" s="15" t="s">
        <v>11</v>
      </c>
      <c r="V5" s="14" t="s">
        <v>16</v>
      </c>
      <c r="W5" s="14" t="s">
        <v>13</v>
      </c>
      <c r="X5" s="15"/>
      <c r="Y5" s="15"/>
      <c r="Z5" s="15"/>
      <c r="AA5" s="11"/>
      <c r="AB5" s="11"/>
      <c r="AC5" s="11"/>
      <c r="AD5" s="11"/>
      <c r="AE5" s="11"/>
      <c r="AF5" s="11"/>
      <c r="AG5" s="15"/>
      <c r="AH5" s="11"/>
      <c r="AI5" s="15"/>
      <c r="AJ5" s="15"/>
      <c r="AK5" s="12"/>
      <c r="AL5" s="15"/>
      <c r="AM5" s="14"/>
      <c r="AN5" s="11"/>
      <c r="AO5" s="11"/>
      <c r="AP5" s="14"/>
      <c r="AQ5" s="15"/>
      <c r="AR5" s="15"/>
      <c r="AS5" s="16"/>
      <c r="AT5" s="11"/>
      <c r="AU5" s="11"/>
      <c r="AV5" s="11"/>
      <c r="AW5" s="11"/>
      <c r="AX5" s="11"/>
      <c r="AY5" s="16"/>
      <c r="AZ5" s="16"/>
      <c r="BA5" s="11"/>
      <c r="BB5" s="11"/>
      <c r="BC5" s="11"/>
      <c r="BD5" s="11"/>
      <c r="BE5" s="14"/>
      <c r="BF5" s="17"/>
      <c r="BG5" s="11"/>
      <c r="BH5" s="14"/>
      <c r="BI5" s="19"/>
      <c r="BJ5" s="14"/>
      <c r="BK5" s="18"/>
    </row>
    <row r="6" spans="1:63" ht="12.75">
      <c r="A6" s="11" t="s">
        <v>17</v>
      </c>
      <c r="B6" s="12">
        <f t="shared" si="1"/>
        <v>19</v>
      </c>
      <c r="C6" s="13"/>
      <c r="D6" s="11">
        <v>2</v>
      </c>
      <c r="E6" s="13">
        <v>1</v>
      </c>
      <c r="F6" s="13">
        <v>-1</v>
      </c>
      <c r="G6" s="12">
        <v>1</v>
      </c>
      <c r="H6" s="12">
        <v>1</v>
      </c>
      <c r="I6" s="12">
        <v>2</v>
      </c>
      <c r="J6" s="12">
        <v>2</v>
      </c>
      <c r="K6" s="13">
        <v>2</v>
      </c>
      <c r="L6" s="14">
        <v>1</v>
      </c>
      <c r="M6" s="14">
        <v>2</v>
      </c>
      <c r="N6" s="12">
        <v>2</v>
      </c>
      <c r="O6" s="12">
        <v>1</v>
      </c>
      <c r="P6" s="11">
        <v>1</v>
      </c>
      <c r="Q6" s="11">
        <v>1</v>
      </c>
      <c r="R6" s="11">
        <v>1</v>
      </c>
      <c r="S6" s="11" t="s">
        <v>15</v>
      </c>
      <c r="T6" s="15" t="s">
        <v>10</v>
      </c>
      <c r="U6" s="15" t="s">
        <v>11</v>
      </c>
      <c r="V6" s="11" t="s">
        <v>16</v>
      </c>
      <c r="W6" s="11" t="s">
        <v>13</v>
      </c>
      <c r="X6" s="15"/>
      <c r="Y6" s="15"/>
      <c r="Z6" s="15"/>
      <c r="AA6" s="15"/>
      <c r="AB6" s="14"/>
      <c r="AC6" s="14"/>
      <c r="AD6" s="11"/>
      <c r="AE6" s="11"/>
      <c r="AF6" s="15"/>
      <c r="AG6" s="15"/>
      <c r="AH6" s="11"/>
      <c r="AI6" s="15"/>
      <c r="AJ6" s="15"/>
      <c r="AK6" s="12"/>
      <c r="AL6" s="15"/>
      <c r="AM6" s="14"/>
      <c r="AN6" s="11"/>
      <c r="AO6" s="11"/>
      <c r="AP6" s="11"/>
      <c r="AQ6" s="15"/>
      <c r="AR6" s="15"/>
      <c r="AS6" s="16"/>
      <c r="AT6" s="11"/>
      <c r="AU6" s="11"/>
      <c r="AV6" s="11"/>
      <c r="AW6" s="11"/>
      <c r="AX6" s="11"/>
      <c r="AY6" s="16"/>
      <c r="AZ6" s="16"/>
      <c r="BA6" s="11"/>
      <c r="BB6" s="11"/>
      <c r="BC6" s="11"/>
      <c r="BD6" s="11"/>
      <c r="BE6" s="14"/>
      <c r="BF6" s="17"/>
      <c r="BG6" s="14"/>
      <c r="BH6" s="14"/>
      <c r="BI6" s="14"/>
      <c r="BJ6" s="14"/>
      <c r="BK6" s="18"/>
    </row>
    <row r="7" spans="1:63" ht="12.75">
      <c r="A7" s="11" t="s">
        <v>18</v>
      </c>
      <c r="B7" s="12">
        <f t="shared" si="1"/>
        <v>14</v>
      </c>
      <c r="C7" s="12">
        <v>2</v>
      </c>
      <c r="D7" s="11">
        <v>2</v>
      </c>
      <c r="E7" s="13">
        <v>1</v>
      </c>
      <c r="F7" s="12">
        <v>2</v>
      </c>
      <c r="G7" s="12"/>
      <c r="H7" s="12">
        <v>1</v>
      </c>
      <c r="I7" s="12">
        <v>2</v>
      </c>
      <c r="J7" s="12">
        <v>-1</v>
      </c>
      <c r="K7" s="13">
        <v>2</v>
      </c>
      <c r="L7" s="14">
        <v>1</v>
      </c>
      <c r="M7" s="12">
        <v>-1</v>
      </c>
      <c r="N7" s="12">
        <v>-1</v>
      </c>
      <c r="O7" s="12">
        <v>1</v>
      </c>
      <c r="P7" s="11">
        <v>1</v>
      </c>
      <c r="Q7" s="11">
        <v>1</v>
      </c>
      <c r="R7" s="11">
        <v>1</v>
      </c>
      <c r="S7" s="14" t="s">
        <v>15</v>
      </c>
      <c r="T7" s="20" t="s">
        <v>10</v>
      </c>
      <c r="U7" s="20" t="s">
        <v>11</v>
      </c>
      <c r="V7" s="21" t="s">
        <v>16</v>
      </c>
      <c r="W7" s="21" t="s">
        <v>13</v>
      </c>
      <c r="X7" s="15"/>
      <c r="Y7" s="15"/>
      <c r="Z7" s="15"/>
      <c r="AA7" s="11"/>
      <c r="AB7" s="14"/>
      <c r="AC7" s="14"/>
      <c r="AD7" s="11"/>
      <c r="AE7" s="11"/>
      <c r="AF7" s="11"/>
      <c r="AG7" s="15"/>
      <c r="AH7" s="11"/>
      <c r="AI7" s="11"/>
      <c r="AJ7" s="15"/>
      <c r="AK7" s="14"/>
      <c r="AL7" s="15"/>
      <c r="AM7" s="14"/>
      <c r="AN7" s="11"/>
      <c r="AO7" s="11"/>
      <c r="AP7" s="11"/>
      <c r="AQ7" s="15"/>
      <c r="AR7" s="15"/>
      <c r="AS7" s="16"/>
      <c r="AT7" s="11"/>
      <c r="AU7" s="11"/>
      <c r="AV7" s="11"/>
      <c r="AW7" s="11"/>
      <c r="AX7" s="11"/>
      <c r="AY7" s="16"/>
      <c r="AZ7" s="16"/>
      <c r="BA7" s="11"/>
      <c r="BB7" s="11"/>
      <c r="BC7" s="14"/>
      <c r="BD7" s="11"/>
      <c r="BE7" s="14"/>
      <c r="BF7" s="17"/>
      <c r="BG7" s="14"/>
      <c r="BH7" s="11"/>
      <c r="BI7" s="14"/>
      <c r="BJ7" s="14"/>
      <c r="BK7" s="18"/>
    </row>
    <row r="8" spans="1:63" ht="12.75">
      <c r="A8" s="11" t="s">
        <v>19</v>
      </c>
      <c r="B8" s="12">
        <f t="shared" si="1"/>
        <v>14</v>
      </c>
      <c r="C8" s="13"/>
      <c r="D8" s="11"/>
      <c r="E8" s="13">
        <v>1</v>
      </c>
      <c r="F8" s="12">
        <v>2</v>
      </c>
      <c r="G8" s="12">
        <v>1</v>
      </c>
      <c r="H8" s="12">
        <v>1</v>
      </c>
      <c r="I8" s="12">
        <v>2</v>
      </c>
      <c r="J8" s="12">
        <v>-1</v>
      </c>
      <c r="K8" s="13">
        <v>2</v>
      </c>
      <c r="L8" s="14">
        <v>1</v>
      </c>
      <c r="M8" s="12">
        <v>-1</v>
      </c>
      <c r="N8" s="12">
        <v>2</v>
      </c>
      <c r="O8" s="12">
        <v>1</v>
      </c>
      <c r="P8" s="11">
        <v>1</v>
      </c>
      <c r="Q8" s="11">
        <v>1</v>
      </c>
      <c r="R8" s="11">
        <v>1</v>
      </c>
      <c r="S8" s="14" t="s">
        <v>15</v>
      </c>
      <c r="T8" s="15" t="s">
        <v>10</v>
      </c>
      <c r="U8" s="15" t="s">
        <v>11</v>
      </c>
      <c r="V8" s="14" t="s">
        <v>16</v>
      </c>
      <c r="W8" s="14" t="s">
        <v>13</v>
      </c>
      <c r="X8" s="15"/>
      <c r="Y8" s="15"/>
      <c r="Z8" s="15"/>
      <c r="AA8" s="15"/>
      <c r="AB8" s="14"/>
      <c r="AC8" s="14"/>
      <c r="AD8" s="11"/>
      <c r="AE8" s="11"/>
      <c r="AF8" s="11"/>
      <c r="AG8" s="15"/>
      <c r="AH8" s="11"/>
      <c r="AI8" s="11"/>
      <c r="AJ8" s="15"/>
      <c r="AK8" s="12"/>
      <c r="AL8" s="15"/>
      <c r="AM8" s="11"/>
      <c r="AN8" s="11"/>
      <c r="AO8" s="11"/>
      <c r="AP8" s="11"/>
      <c r="AQ8" s="15"/>
      <c r="AR8" s="15"/>
      <c r="AS8" s="16"/>
      <c r="AT8" s="11"/>
      <c r="AU8" s="11"/>
      <c r="AV8" s="11"/>
      <c r="AW8" s="11"/>
      <c r="AX8" s="11"/>
      <c r="AY8" s="16"/>
      <c r="AZ8" s="16"/>
      <c r="BA8" s="11"/>
      <c r="BB8" s="11"/>
      <c r="BC8" s="11"/>
      <c r="BD8" s="11"/>
      <c r="BE8" s="14"/>
      <c r="BF8" s="17"/>
      <c r="BG8" s="14"/>
      <c r="BH8" s="11"/>
      <c r="BI8" s="14"/>
      <c r="BJ8" s="14"/>
      <c r="BK8" s="18"/>
    </row>
    <row r="9" spans="1:63" ht="12.75">
      <c r="A9" s="11" t="s">
        <v>20</v>
      </c>
      <c r="B9" s="12">
        <f t="shared" si="1"/>
        <v>15</v>
      </c>
      <c r="C9" s="12">
        <v>2</v>
      </c>
      <c r="D9" s="11">
        <v>-1</v>
      </c>
      <c r="E9" s="13">
        <v>1</v>
      </c>
      <c r="F9" s="13">
        <v>-1</v>
      </c>
      <c r="G9" s="12">
        <v>1</v>
      </c>
      <c r="H9" s="12">
        <v>1</v>
      </c>
      <c r="I9" s="12">
        <v>2</v>
      </c>
      <c r="J9" s="12">
        <v>-1</v>
      </c>
      <c r="K9" s="13">
        <v>2</v>
      </c>
      <c r="L9" s="14">
        <v>1</v>
      </c>
      <c r="M9" s="14">
        <v>2</v>
      </c>
      <c r="N9" s="12">
        <v>2</v>
      </c>
      <c r="O9" s="12">
        <v>1</v>
      </c>
      <c r="P9" s="11">
        <v>1</v>
      </c>
      <c r="Q9" s="11">
        <v>1</v>
      </c>
      <c r="R9" s="11">
        <v>1</v>
      </c>
      <c r="S9" s="14" t="s">
        <v>15</v>
      </c>
      <c r="T9" s="20" t="s">
        <v>10</v>
      </c>
      <c r="U9" s="20" t="s">
        <v>11</v>
      </c>
      <c r="V9" s="21" t="s">
        <v>16</v>
      </c>
      <c r="W9" s="21" t="s">
        <v>13</v>
      </c>
      <c r="X9" s="15"/>
      <c r="Y9" s="15"/>
      <c r="Z9" s="15"/>
      <c r="AA9" s="15"/>
      <c r="AB9" s="14"/>
      <c r="AC9" s="14"/>
      <c r="AD9" s="11"/>
      <c r="AE9" s="11"/>
      <c r="AF9" s="11"/>
      <c r="AG9" s="11"/>
      <c r="AH9" s="11"/>
      <c r="AI9" s="11"/>
      <c r="AJ9" s="11"/>
      <c r="AK9" s="14"/>
      <c r="AL9" s="15"/>
      <c r="AM9" s="14"/>
      <c r="AN9" s="11"/>
      <c r="AO9" s="11"/>
      <c r="AP9" s="14"/>
      <c r="AQ9" s="15"/>
      <c r="AR9" s="15"/>
      <c r="AS9" s="16"/>
      <c r="AT9" s="11"/>
      <c r="AU9" s="11"/>
      <c r="AV9" s="11"/>
      <c r="AW9" s="11"/>
      <c r="AX9" s="11"/>
      <c r="AY9" s="16"/>
      <c r="AZ9" s="16"/>
      <c r="BA9" s="11"/>
      <c r="BB9" s="11"/>
      <c r="BC9" s="11"/>
      <c r="BD9" s="11"/>
      <c r="BE9" s="14"/>
      <c r="BF9" s="17"/>
      <c r="BG9" s="14"/>
      <c r="BH9" s="14"/>
      <c r="BI9" s="14"/>
      <c r="BJ9" s="22"/>
      <c r="BK9" s="23"/>
    </row>
    <row r="10" spans="1:63" ht="12.75">
      <c r="A10" s="11" t="s">
        <v>21</v>
      </c>
      <c r="B10" s="12">
        <f t="shared" si="1"/>
        <v>18</v>
      </c>
      <c r="C10" s="12">
        <v>2</v>
      </c>
      <c r="D10" s="11">
        <v>2</v>
      </c>
      <c r="E10" s="13">
        <v>1</v>
      </c>
      <c r="F10" s="12">
        <v>2</v>
      </c>
      <c r="G10" s="12">
        <v>1</v>
      </c>
      <c r="H10" s="12">
        <v>1</v>
      </c>
      <c r="I10" s="12">
        <v>2</v>
      </c>
      <c r="J10" s="12">
        <v>-1</v>
      </c>
      <c r="K10" s="13">
        <v>2</v>
      </c>
      <c r="L10" s="14">
        <v>1</v>
      </c>
      <c r="M10" s="12">
        <v>-1</v>
      </c>
      <c r="N10" s="12">
        <v>2</v>
      </c>
      <c r="O10" s="12">
        <v>1</v>
      </c>
      <c r="P10" s="11">
        <v>1</v>
      </c>
      <c r="Q10" s="11">
        <v>1</v>
      </c>
      <c r="R10" s="11">
        <v>1</v>
      </c>
      <c r="S10" s="14" t="s">
        <v>15</v>
      </c>
      <c r="T10" s="15" t="s">
        <v>10</v>
      </c>
      <c r="U10" s="15" t="s">
        <v>11</v>
      </c>
      <c r="V10" s="14" t="s">
        <v>16</v>
      </c>
      <c r="W10" s="14" t="s">
        <v>13</v>
      </c>
      <c r="X10" s="15"/>
      <c r="Y10" s="15"/>
      <c r="Z10" s="15"/>
      <c r="AA10" s="15"/>
      <c r="AB10" s="14"/>
      <c r="AC10" s="14"/>
      <c r="AD10" s="11"/>
      <c r="AE10" s="11"/>
      <c r="AF10" s="11"/>
      <c r="AG10" s="15"/>
      <c r="AH10" s="11"/>
      <c r="AI10" s="11"/>
      <c r="AJ10" s="15"/>
      <c r="AK10" s="14"/>
      <c r="AL10" s="15"/>
      <c r="AM10" s="14"/>
      <c r="AN10" s="11"/>
      <c r="AO10" s="11"/>
      <c r="AP10" s="14"/>
      <c r="AQ10" s="15"/>
      <c r="AR10" s="15"/>
      <c r="AS10" s="16"/>
      <c r="AT10" s="11"/>
      <c r="AU10" s="11"/>
      <c r="AV10" s="11"/>
      <c r="AW10" s="11"/>
      <c r="AX10" s="11"/>
      <c r="AY10" s="16"/>
      <c r="AZ10" s="16"/>
      <c r="BA10" s="11"/>
      <c r="BB10" s="11"/>
      <c r="BC10" s="11"/>
      <c r="BD10" s="11"/>
      <c r="BE10" s="11"/>
      <c r="BF10" s="24"/>
      <c r="BG10" s="14"/>
      <c r="BH10" s="14"/>
      <c r="BI10" s="19"/>
      <c r="BJ10" s="22"/>
      <c r="BK10" s="23"/>
    </row>
    <row r="11" spans="1:63" ht="12.75">
      <c r="A11" s="11" t="s">
        <v>22</v>
      </c>
      <c r="B11" s="12">
        <f t="shared" si="1"/>
        <v>18</v>
      </c>
      <c r="C11" s="12">
        <v>2</v>
      </c>
      <c r="D11" s="11">
        <v>2</v>
      </c>
      <c r="E11" s="13">
        <v>1</v>
      </c>
      <c r="F11" s="12">
        <v>2</v>
      </c>
      <c r="G11" s="12">
        <v>1</v>
      </c>
      <c r="H11" s="12">
        <v>1</v>
      </c>
      <c r="I11" s="12">
        <v>2</v>
      </c>
      <c r="J11" s="12">
        <v>-1</v>
      </c>
      <c r="K11" s="13">
        <v>2</v>
      </c>
      <c r="L11" s="14">
        <v>1</v>
      </c>
      <c r="M11" s="12">
        <v>-1</v>
      </c>
      <c r="N11" s="12">
        <v>2</v>
      </c>
      <c r="O11" s="12">
        <v>1</v>
      </c>
      <c r="P11" s="11">
        <v>1</v>
      </c>
      <c r="Q11" s="11">
        <v>1</v>
      </c>
      <c r="R11" s="11">
        <v>1</v>
      </c>
      <c r="S11" s="14" t="s">
        <v>15</v>
      </c>
      <c r="T11" s="15" t="s">
        <v>10</v>
      </c>
      <c r="U11" s="15" t="s">
        <v>11</v>
      </c>
      <c r="V11" s="14" t="s">
        <v>16</v>
      </c>
      <c r="W11" s="14" t="s">
        <v>13</v>
      </c>
      <c r="X11" s="15"/>
      <c r="Y11" s="15"/>
      <c r="Z11" s="15"/>
      <c r="AA11" s="15"/>
      <c r="AB11" s="14"/>
      <c r="AC11" s="14"/>
      <c r="AD11" s="11"/>
      <c r="AE11" s="11"/>
      <c r="AF11" s="15"/>
      <c r="AG11" s="15"/>
      <c r="AH11" s="11"/>
      <c r="AI11" s="11"/>
      <c r="AJ11" s="15"/>
      <c r="AK11" s="14"/>
      <c r="AL11" s="15"/>
      <c r="AM11" s="14"/>
      <c r="AN11" s="11"/>
      <c r="AO11" s="11"/>
      <c r="AP11" s="11"/>
      <c r="AQ11" s="15"/>
      <c r="AR11" s="15"/>
      <c r="AS11" s="16"/>
      <c r="AT11" s="11"/>
      <c r="AU11" s="11"/>
      <c r="AV11" s="11"/>
      <c r="AW11" s="11"/>
      <c r="AX11" s="11"/>
      <c r="AY11" s="16"/>
      <c r="AZ11" s="16"/>
      <c r="BA11" s="11"/>
      <c r="BB11" s="11"/>
      <c r="BC11" s="14"/>
      <c r="BD11" s="11"/>
      <c r="BE11" s="14"/>
      <c r="BF11" s="17"/>
      <c r="BG11" s="14"/>
      <c r="BH11" s="14"/>
      <c r="BI11" s="14"/>
      <c r="BJ11" s="14"/>
      <c r="BK11" s="18"/>
    </row>
    <row r="12" spans="1:63" ht="12.75">
      <c r="A12" s="11" t="s">
        <v>23</v>
      </c>
      <c r="B12" s="12">
        <f t="shared" si="1"/>
        <v>11</v>
      </c>
      <c r="C12" s="13"/>
      <c r="D12" s="11"/>
      <c r="E12" s="11"/>
      <c r="F12" s="11"/>
      <c r="G12" s="11"/>
      <c r="H12" s="12"/>
      <c r="I12" s="12"/>
      <c r="J12" s="11"/>
      <c r="K12" s="13">
        <v>2</v>
      </c>
      <c r="L12" s="14">
        <v>1</v>
      </c>
      <c r="M12" s="14">
        <v>2</v>
      </c>
      <c r="N12" s="12">
        <v>2</v>
      </c>
      <c r="O12" s="12">
        <v>1</v>
      </c>
      <c r="P12" s="11">
        <v>1</v>
      </c>
      <c r="Q12" s="11">
        <v>1</v>
      </c>
      <c r="R12" s="11">
        <v>1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24"/>
      <c r="BG12" s="11"/>
      <c r="BH12" s="11"/>
      <c r="BI12" s="14"/>
      <c r="BJ12" s="14"/>
      <c r="BK12" s="18"/>
    </row>
    <row r="13" spans="1:63" ht="12.75">
      <c r="A13" s="11" t="s">
        <v>24</v>
      </c>
      <c r="B13" s="12">
        <f t="shared" si="1"/>
        <v>21</v>
      </c>
      <c r="C13" s="12">
        <v>2</v>
      </c>
      <c r="D13" s="11">
        <v>2</v>
      </c>
      <c r="E13" s="13">
        <v>1</v>
      </c>
      <c r="F13" s="13">
        <v>-1</v>
      </c>
      <c r="G13" s="12">
        <v>1</v>
      </c>
      <c r="H13" s="12">
        <v>1</v>
      </c>
      <c r="I13" s="12">
        <v>2</v>
      </c>
      <c r="J13" s="12">
        <v>2</v>
      </c>
      <c r="K13" s="13">
        <v>2</v>
      </c>
      <c r="L13" s="14">
        <v>1</v>
      </c>
      <c r="M13" s="14">
        <v>2</v>
      </c>
      <c r="N13" s="12">
        <v>2</v>
      </c>
      <c r="O13" s="12">
        <v>1</v>
      </c>
      <c r="P13" s="11">
        <v>1</v>
      </c>
      <c r="Q13" s="11">
        <v>1</v>
      </c>
      <c r="R13" s="11">
        <v>1</v>
      </c>
      <c r="S13" s="14" t="s">
        <v>15</v>
      </c>
      <c r="T13" s="20" t="s">
        <v>10</v>
      </c>
      <c r="U13" s="20" t="s">
        <v>11</v>
      </c>
      <c r="V13" s="21" t="s">
        <v>16</v>
      </c>
      <c r="W13" s="21" t="s">
        <v>13</v>
      </c>
      <c r="X13" s="15"/>
      <c r="Y13" s="15"/>
      <c r="Z13" s="15"/>
      <c r="AA13" s="15"/>
      <c r="AB13" s="14"/>
      <c r="AC13" s="14"/>
      <c r="AD13" s="11"/>
      <c r="AE13" s="11"/>
      <c r="AF13" s="11"/>
      <c r="AG13" s="15"/>
      <c r="AH13" s="11"/>
      <c r="AI13" s="15"/>
      <c r="AJ13" s="15"/>
      <c r="AK13" s="12"/>
      <c r="AL13" s="15"/>
      <c r="AM13" s="14"/>
      <c r="AN13" s="11"/>
      <c r="AO13" s="11"/>
      <c r="AP13" s="11"/>
      <c r="AQ13" s="15"/>
      <c r="AR13" s="15"/>
      <c r="AS13" s="16"/>
      <c r="AT13" s="11"/>
      <c r="AU13" s="11"/>
      <c r="AV13" s="11"/>
      <c r="AW13" s="11"/>
      <c r="AX13" s="11"/>
      <c r="AY13" s="16"/>
      <c r="AZ13" s="16"/>
      <c r="BA13" s="11"/>
      <c r="BB13" s="11"/>
      <c r="BC13" s="14"/>
      <c r="BD13" s="11"/>
      <c r="BE13" s="14"/>
      <c r="BF13" s="17"/>
      <c r="BG13" s="14"/>
      <c r="BH13" s="14"/>
      <c r="BI13" s="14"/>
      <c r="BJ13" s="14"/>
      <c r="BK13" s="18"/>
    </row>
    <row r="14" spans="1:63" ht="12.75">
      <c r="A14" s="11" t="s">
        <v>25</v>
      </c>
      <c r="B14" s="12">
        <f t="shared" si="1"/>
        <v>21</v>
      </c>
      <c r="C14" s="12">
        <v>2</v>
      </c>
      <c r="D14" s="11">
        <v>2</v>
      </c>
      <c r="E14" s="13">
        <v>1</v>
      </c>
      <c r="F14" s="12">
        <v>2</v>
      </c>
      <c r="G14" s="12">
        <v>1</v>
      </c>
      <c r="H14" s="12">
        <v>1</v>
      </c>
      <c r="I14" s="12">
        <v>2</v>
      </c>
      <c r="J14" s="12">
        <v>-1</v>
      </c>
      <c r="K14" s="13">
        <v>2</v>
      </c>
      <c r="L14" s="14">
        <v>1</v>
      </c>
      <c r="M14" s="14">
        <v>2</v>
      </c>
      <c r="N14" s="12">
        <v>2</v>
      </c>
      <c r="O14" s="12">
        <v>1</v>
      </c>
      <c r="P14" s="11">
        <v>1</v>
      </c>
      <c r="Q14" s="11">
        <v>1</v>
      </c>
      <c r="R14" s="11">
        <v>1</v>
      </c>
      <c r="S14" s="14" t="s">
        <v>15</v>
      </c>
      <c r="T14" s="20" t="s">
        <v>10</v>
      </c>
      <c r="U14" s="20" t="s">
        <v>11</v>
      </c>
      <c r="V14" s="21" t="s">
        <v>16</v>
      </c>
      <c r="W14" s="21" t="s">
        <v>13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5"/>
      <c r="AK14" s="14"/>
      <c r="AL14" s="15"/>
      <c r="AM14" s="14"/>
      <c r="AN14" s="11"/>
      <c r="AO14" s="11"/>
      <c r="AP14" s="11"/>
      <c r="AQ14" s="15"/>
      <c r="AR14" s="15"/>
      <c r="AS14" s="16"/>
      <c r="AT14" s="11"/>
      <c r="AU14" s="11"/>
      <c r="AV14" s="11"/>
      <c r="AW14" s="11"/>
      <c r="AX14" s="11"/>
      <c r="AY14" s="16"/>
      <c r="AZ14" s="16"/>
      <c r="BA14" s="11"/>
      <c r="BB14" s="11"/>
      <c r="BC14" s="11"/>
      <c r="BD14" s="11"/>
      <c r="BE14" s="14"/>
      <c r="BF14" s="17"/>
      <c r="BG14" s="14"/>
      <c r="BH14" s="14"/>
      <c r="BI14" s="14"/>
      <c r="BJ14" s="14"/>
      <c r="BK14" s="18"/>
    </row>
    <row r="15" spans="1:63" ht="12.75">
      <c r="A15" s="11" t="s">
        <v>26</v>
      </c>
      <c r="B15" s="12">
        <f t="shared" si="1"/>
        <v>12</v>
      </c>
      <c r="C15" s="12">
        <v>2</v>
      </c>
      <c r="D15" s="11">
        <v>-1</v>
      </c>
      <c r="E15" s="13">
        <v>1</v>
      </c>
      <c r="F15" s="13">
        <v>-1</v>
      </c>
      <c r="G15" s="12">
        <v>1</v>
      </c>
      <c r="H15" s="12">
        <v>1</v>
      </c>
      <c r="I15" s="12">
        <v>2</v>
      </c>
      <c r="J15" s="12">
        <v>-1</v>
      </c>
      <c r="K15" s="13">
        <v>2</v>
      </c>
      <c r="L15" s="14">
        <v>1</v>
      </c>
      <c r="M15" s="12">
        <v>-1</v>
      </c>
      <c r="N15" s="12">
        <v>2</v>
      </c>
      <c r="O15" s="12">
        <v>1</v>
      </c>
      <c r="P15" s="11">
        <v>1</v>
      </c>
      <c r="Q15" s="11">
        <v>1</v>
      </c>
      <c r="R15" s="11">
        <v>1</v>
      </c>
      <c r="S15" s="14" t="s">
        <v>15</v>
      </c>
      <c r="T15" s="20" t="s">
        <v>27</v>
      </c>
      <c r="U15" s="20" t="s">
        <v>11</v>
      </c>
      <c r="V15" s="21" t="s">
        <v>16</v>
      </c>
      <c r="W15" s="21" t="s">
        <v>13</v>
      </c>
      <c r="X15" s="15"/>
      <c r="Y15" s="15"/>
      <c r="Z15" s="15"/>
      <c r="AA15" s="15"/>
      <c r="AB15" s="14"/>
      <c r="AC15" s="14"/>
      <c r="AD15" s="11"/>
      <c r="AE15" s="11"/>
      <c r="AF15" s="15"/>
      <c r="AG15" s="15"/>
      <c r="AH15" s="11"/>
      <c r="AI15" s="15"/>
      <c r="AJ15" s="15"/>
      <c r="AK15" s="14"/>
      <c r="AL15" s="15"/>
      <c r="AM15" s="14"/>
      <c r="AN15" s="11"/>
      <c r="AO15" s="11"/>
      <c r="AP15" s="11"/>
      <c r="AQ15" s="15"/>
      <c r="AR15" s="15"/>
      <c r="AS15" s="16"/>
      <c r="AT15" s="11"/>
      <c r="AU15" s="11"/>
      <c r="AV15" s="11"/>
      <c r="AW15" s="11"/>
      <c r="AX15" s="11"/>
      <c r="AY15" s="16"/>
      <c r="AZ15" s="16"/>
      <c r="BA15" s="11"/>
      <c r="BB15" s="11"/>
      <c r="BC15" s="14"/>
      <c r="BD15" s="11"/>
      <c r="BE15" s="14"/>
      <c r="BF15" s="17"/>
      <c r="BG15" s="14"/>
      <c r="BH15" s="14"/>
      <c r="BI15" s="14"/>
      <c r="BJ15" s="22"/>
      <c r="BK15" s="23"/>
    </row>
    <row r="16" spans="1:63" ht="12.75">
      <c r="A16" s="14" t="s">
        <v>28</v>
      </c>
      <c r="B16" s="12">
        <f t="shared" si="1"/>
        <v>13</v>
      </c>
      <c r="C16" s="12">
        <v>2</v>
      </c>
      <c r="D16" s="11">
        <v>-1</v>
      </c>
      <c r="E16" s="13">
        <v>1</v>
      </c>
      <c r="F16" s="12">
        <v>2</v>
      </c>
      <c r="G16" s="12">
        <v>1</v>
      </c>
      <c r="H16" s="12">
        <v>1</v>
      </c>
      <c r="I16" s="12">
        <v>-1</v>
      </c>
      <c r="J16" s="12">
        <v>-1</v>
      </c>
      <c r="K16" s="13">
        <v>2</v>
      </c>
      <c r="L16" s="14">
        <v>1</v>
      </c>
      <c r="M16" s="12"/>
      <c r="N16" s="12">
        <v>2</v>
      </c>
      <c r="O16" s="12">
        <v>1</v>
      </c>
      <c r="P16" s="11">
        <v>1</v>
      </c>
      <c r="Q16" s="11">
        <v>1</v>
      </c>
      <c r="R16" s="11">
        <v>1</v>
      </c>
      <c r="S16" s="14" t="s">
        <v>15</v>
      </c>
      <c r="T16" s="20" t="s">
        <v>10</v>
      </c>
      <c r="U16" s="20" t="s">
        <v>11</v>
      </c>
      <c r="V16" s="21" t="s">
        <v>16</v>
      </c>
      <c r="W16" s="21" t="s">
        <v>13</v>
      </c>
      <c r="X16" s="15"/>
      <c r="Y16" s="15"/>
      <c r="Z16" s="15"/>
      <c r="AA16" s="15"/>
      <c r="AB16" s="14"/>
      <c r="AC16" s="14"/>
      <c r="AD16" s="11"/>
      <c r="AE16" s="11"/>
      <c r="AF16" s="15"/>
      <c r="AG16" s="15"/>
      <c r="AH16" s="11"/>
      <c r="AI16" s="15"/>
      <c r="AJ16" s="15"/>
      <c r="AK16" s="14"/>
      <c r="AL16" s="15"/>
      <c r="AM16" s="15"/>
      <c r="AN16" s="15"/>
      <c r="AO16" s="15"/>
      <c r="AP16" s="15"/>
      <c r="AQ16" s="15"/>
      <c r="AR16" s="15"/>
      <c r="AS16" s="16"/>
      <c r="AT16" s="11"/>
      <c r="AU16" s="11"/>
      <c r="AV16" s="11"/>
      <c r="AW16" s="11"/>
      <c r="AX16" s="11"/>
      <c r="AY16" s="16"/>
      <c r="AZ16" s="16"/>
      <c r="BA16" s="11"/>
      <c r="BB16" s="11"/>
      <c r="BC16" s="14"/>
      <c r="BD16" s="11"/>
      <c r="BE16" s="14"/>
      <c r="BF16" s="17"/>
      <c r="BG16" s="14"/>
      <c r="BH16" s="14"/>
      <c r="BI16" s="14"/>
      <c r="BJ16" s="14"/>
      <c r="BK16" s="18"/>
    </row>
    <row r="17" spans="1:63" ht="12.75">
      <c r="A17" s="11" t="s">
        <v>29</v>
      </c>
      <c r="B17" s="12">
        <f t="shared" si="1"/>
        <v>24</v>
      </c>
      <c r="C17" s="12">
        <v>2</v>
      </c>
      <c r="D17" s="11">
        <v>2</v>
      </c>
      <c r="E17" s="13">
        <v>1</v>
      </c>
      <c r="F17" s="12">
        <v>2</v>
      </c>
      <c r="G17" s="12">
        <v>1</v>
      </c>
      <c r="H17" s="12">
        <v>1</v>
      </c>
      <c r="I17" s="12">
        <v>2</v>
      </c>
      <c r="J17" s="12">
        <v>2</v>
      </c>
      <c r="K17" s="13">
        <v>2</v>
      </c>
      <c r="L17" s="14">
        <v>1</v>
      </c>
      <c r="M17" s="14">
        <v>2</v>
      </c>
      <c r="N17" s="12">
        <v>2</v>
      </c>
      <c r="O17" s="12">
        <v>1</v>
      </c>
      <c r="P17" s="11">
        <v>1</v>
      </c>
      <c r="Q17" s="11">
        <v>1</v>
      </c>
      <c r="R17" s="11">
        <v>1</v>
      </c>
      <c r="S17" s="14" t="s">
        <v>15</v>
      </c>
      <c r="T17" s="20" t="s">
        <v>10</v>
      </c>
      <c r="U17" s="20" t="s">
        <v>11</v>
      </c>
      <c r="V17" s="21" t="s">
        <v>16</v>
      </c>
      <c r="W17" s="21" t="s">
        <v>13</v>
      </c>
      <c r="X17" s="15"/>
      <c r="Y17" s="15"/>
      <c r="Z17" s="15"/>
      <c r="AA17" s="15"/>
      <c r="AB17" s="14"/>
      <c r="AC17" s="14"/>
      <c r="AD17" s="11"/>
      <c r="AE17" s="11"/>
      <c r="AF17" s="15"/>
      <c r="AG17" s="15"/>
      <c r="AH17" s="11"/>
      <c r="AI17" s="15"/>
      <c r="AJ17" s="15"/>
      <c r="AK17" s="12"/>
      <c r="AL17" s="15"/>
      <c r="AM17" s="14"/>
      <c r="AN17" s="11"/>
      <c r="AO17" s="11"/>
      <c r="AP17" s="11"/>
      <c r="AQ17" s="15"/>
      <c r="AR17" s="15"/>
      <c r="AS17" s="16"/>
      <c r="AT17" s="11"/>
      <c r="AU17" s="11"/>
      <c r="AV17" s="11"/>
      <c r="AW17" s="11"/>
      <c r="AX17" s="11"/>
      <c r="AY17" s="16"/>
      <c r="AZ17" s="16"/>
      <c r="BA17" s="11"/>
      <c r="BB17" s="11"/>
      <c r="BC17" s="11"/>
      <c r="BD17" s="11"/>
      <c r="BE17" s="14"/>
      <c r="BF17" s="17"/>
      <c r="BG17" s="14"/>
      <c r="BH17" s="14"/>
      <c r="BI17" s="14"/>
      <c r="BJ17" s="14"/>
      <c r="BK17" s="18"/>
    </row>
    <row r="18" spans="1:63" ht="12.75">
      <c r="A18" s="11" t="s">
        <v>30</v>
      </c>
      <c r="B18" s="12">
        <f t="shared" si="1"/>
        <v>21</v>
      </c>
      <c r="C18" s="12">
        <v>2</v>
      </c>
      <c r="D18" s="11">
        <v>-1</v>
      </c>
      <c r="E18" s="13">
        <v>1</v>
      </c>
      <c r="F18" s="12">
        <v>2</v>
      </c>
      <c r="G18" s="12">
        <v>1</v>
      </c>
      <c r="H18" s="12">
        <v>1</v>
      </c>
      <c r="I18" s="12">
        <v>2</v>
      </c>
      <c r="J18" s="12">
        <v>2</v>
      </c>
      <c r="K18" s="13">
        <v>2</v>
      </c>
      <c r="L18" s="14">
        <v>1</v>
      </c>
      <c r="M18" s="14">
        <v>2</v>
      </c>
      <c r="N18" s="12">
        <v>2</v>
      </c>
      <c r="O18" s="12">
        <v>1</v>
      </c>
      <c r="P18" s="11">
        <v>1</v>
      </c>
      <c r="Q18" s="11">
        <v>1</v>
      </c>
      <c r="R18" s="11">
        <v>1</v>
      </c>
      <c r="S18" s="14" t="s">
        <v>15</v>
      </c>
      <c r="T18" s="20" t="s">
        <v>10</v>
      </c>
      <c r="U18" s="20" t="s">
        <v>11</v>
      </c>
      <c r="V18" s="21" t="s">
        <v>16</v>
      </c>
      <c r="W18" s="21" t="s">
        <v>13</v>
      </c>
      <c r="X18" s="15"/>
      <c r="Y18" s="15"/>
      <c r="Z18" s="15"/>
      <c r="AA18" s="15"/>
      <c r="AB18" s="14"/>
      <c r="AC18" s="14"/>
      <c r="AD18" s="11"/>
      <c r="AE18" s="11"/>
      <c r="AF18" s="15"/>
      <c r="AG18" s="15"/>
      <c r="AH18" s="11"/>
      <c r="AI18" s="15"/>
      <c r="AJ18" s="15"/>
      <c r="AK18" s="14"/>
      <c r="AL18" s="15"/>
      <c r="AM18" s="14"/>
      <c r="AN18" s="11"/>
      <c r="AO18" s="11"/>
      <c r="AP18" s="11"/>
      <c r="AQ18" s="15"/>
      <c r="AR18" s="15"/>
      <c r="AS18" s="16"/>
      <c r="AT18" s="11"/>
      <c r="AU18" s="11"/>
      <c r="AV18" s="11"/>
      <c r="AW18" s="11"/>
      <c r="AX18" s="11"/>
      <c r="AY18" s="16"/>
      <c r="AZ18" s="16"/>
      <c r="BA18" s="11"/>
      <c r="BB18" s="11"/>
      <c r="BC18" s="14"/>
      <c r="BD18" s="11"/>
      <c r="BE18" s="14"/>
      <c r="BF18" s="17"/>
      <c r="BG18" s="14"/>
      <c r="BH18" s="14"/>
      <c r="BI18" s="14"/>
      <c r="BJ18" s="14"/>
      <c r="BK18" s="18"/>
    </row>
    <row r="19" spans="1:63" ht="12.75">
      <c r="A19" s="11" t="s">
        <v>31</v>
      </c>
      <c r="B19" s="12">
        <f t="shared" si="1"/>
        <v>21</v>
      </c>
      <c r="C19" s="12">
        <v>2</v>
      </c>
      <c r="D19" s="11">
        <v>2</v>
      </c>
      <c r="E19" s="13">
        <v>1</v>
      </c>
      <c r="F19" s="12">
        <v>2</v>
      </c>
      <c r="G19" s="12">
        <v>1</v>
      </c>
      <c r="H19" s="12">
        <v>1</v>
      </c>
      <c r="I19" s="12">
        <v>2</v>
      </c>
      <c r="J19" s="12">
        <v>-1</v>
      </c>
      <c r="K19" s="13">
        <v>2</v>
      </c>
      <c r="L19" s="14">
        <v>1</v>
      </c>
      <c r="M19" s="14">
        <v>2</v>
      </c>
      <c r="N19" s="12">
        <v>2</v>
      </c>
      <c r="O19" s="12">
        <v>1</v>
      </c>
      <c r="P19" s="11">
        <v>1</v>
      </c>
      <c r="Q19" s="11">
        <v>1</v>
      </c>
      <c r="R19" s="11">
        <v>1</v>
      </c>
      <c r="S19" s="14" t="s">
        <v>15</v>
      </c>
      <c r="T19" s="20" t="s">
        <v>10</v>
      </c>
      <c r="U19" s="20" t="s">
        <v>11</v>
      </c>
      <c r="V19" s="21" t="s">
        <v>16</v>
      </c>
      <c r="W19" s="21" t="s">
        <v>13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6"/>
      <c r="AZ19" s="11"/>
      <c r="BA19" s="11"/>
      <c r="BB19" s="11"/>
      <c r="BC19" s="11"/>
      <c r="BD19" s="11"/>
      <c r="BE19" s="11"/>
      <c r="BF19" s="24"/>
      <c r="BG19" s="11"/>
      <c r="BH19" s="11"/>
      <c r="BI19" s="11"/>
      <c r="BJ19" s="11"/>
    </row>
    <row r="20" spans="1:63" ht="12.75">
      <c r="A20" s="11" t="s">
        <v>32</v>
      </c>
      <c r="B20" s="12">
        <f t="shared" si="1"/>
        <v>21</v>
      </c>
      <c r="C20" s="12">
        <v>2</v>
      </c>
      <c r="D20" s="11">
        <v>-1</v>
      </c>
      <c r="E20" s="13">
        <v>1</v>
      </c>
      <c r="F20" s="12">
        <v>2</v>
      </c>
      <c r="G20" s="12">
        <v>1</v>
      </c>
      <c r="H20" s="12">
        <v>1</v>
      </c>
      <c r="I20" s="12">
        <v>2</v>
      </c>
      <c r="J20" s="12">
        <v>2</v>
      </c>
      <c r="K20" s="13">
        <v>2</v>
      </c>
      <c r="L20" s="14">
        <v>1</v>
      </c>
      <c r="M20" s="14">
        <v>2</v>
      </c>
      <c r="N20" s="12">
        <v>2</v>
      </c>
      <c r="O20" s="12">
        <v>1</v>
      </c>
      <c r="P20" s="11">
        <v>1</v>
      </c>
      <c r="Q20" s="11">
        <v>1</v>
      </c>
      <c r="R20" s="11">
        <v>1</v>
      </c>
      <c r="S20" s="14" t="s">
        <v>15</v>
      </c>
      <c r="T20" s="20" t="s">
        <v>27</v>
      </c>
      <c r="U20" s="20" t="s">
        <v>11</v>
      </c>
      <c r="V20" s="21" t="s">
        <v>16</v>
      </c>
      <c r="W20" s="21" t="s">
        <v>13</v>
      </c>
      <c r="X20" s="15"/>
      <c r="Y20" s="15"/>
      <c r="Z20" s="15"/>
      <c r="AA20" s="15"/>
      <c r="AB20" s="14"/>
      <c r="AC20" s="14"/>
      <c r="AD20" s="11"/>
      <c r="AE20" s="11"/>
      <c r="AF20" s="11"/>
      <c r="AG20" s="15"/>
      <c r="AH20" s="11"/>
      <c r="AI20" s="15"/>
      <c r="AJ20" s="15"/>
      <c r="AK20" s="12"/>
      <c r="AL20" s="15"/>
      <c r="AM20" s="14"/>
      <c r="AN20" s="11"/>
      <c r="AO20" s="11"/>
      <c r="AP20" s="14"/>
      <c r="AQ20" s="15"/>
      <c r="AR20" s="15"/>
      <c r="AS20" s="16"/>
      <c r="AT20" s="11"/>
      <c r="AU20" s="16"/>
      <c r="AV20" s="11"/>
      <c r="AW20" s="11"/>
      <c r="AX20" s="11"/>
      <c r="AY20" s="16"/>
      <c r="AZ20" s="16"/>
      <c r="BA20" s="11"/>
      <c r="BB20" s="11"/>
      <c r="BC20" s="11"/>
      <c r="BD20" s="11"/>
      <c r="BE20" s="14"/>
      <c r="BF20" s="17"/>
      <c r="BG20" s="14"/>
      <c r="BH20" s="14"/>
      <c r="BI20" s="14"/>
      <c r="BJ20" s="22"/>
      <c r="BK20" s="23"/>
    </row>
    <row r="21" spans="1:63" ht="12.75">
      <c r="A21" s="11" t="s">
        <v>33</v>
      </c>
      <c r="B21" s="12">
        <f t="shared" si="1"/>
        <v>14</v>
      </c>
      <c r="C21" s="13"/>
      <c r="D21" s="11"/>
      <c r="E21" s="13">
        <v>1</v>
      </c>
      <c r="F21" s="12">
        <v>2</v>
      </c>
      <c r="G21" s="12">
        <v>1</v>
      </c>
      <c r="H21" s="12">
        <v>1</v>
      </c>
      <c r="I21" s="12">
        <v>2</v>
      </c>
      <c r="J21" s="12">
        <v>-1</v>
      </c>
      <c r="K21" s="13">
        <v>2</v>
      </c>
      <c r="L21" s="14">
        <v>1</v>
      </c>
      <c r="M21" s="12">
        <v>-1</v>
      </c>
      <c r="N21" s="12">
        <v>2</v>
      </c>
      <c r="O21" s="12">
        <v>1</v>
      </c>
      <c r="P21" s="11">
        <v>1</v>
      </c>
      <c r="Q21" s="11">
        <v>1</v>
      </c>
      <c r="R21" s="11">
        <v>1</v>
      </c>
      <c r="S21" s="12"/>
      <c r="T21" s="15"/>
      <c r="U21" s="15"/>
      <c r="V21" s="11"/>
      <c r="W21" s="15"/>
      <c r="X21" s="15"/>
      <c r="Y21" s="15"/>
      <c r="Z21" s="15"/>
      <c r="AA21" s="15"/>
      <c r="AB21" s="14"/>
      <c r="AC21" s="14"/>
      <c r="AD21" s="11"/>
      <c r="AE21" s="11"/>
      <c r="AF21" s="15"/>
      <c r="AG21" s="15"/>
      <c r="AH21" s="11"/>
      <c r="AI21" s="15"/>
      <c r="AJ21" s="15"/>
      <c r="AK21" s="12"/>
      <c r="AL21" s="15"/>
      <c r="AM21" s="14"/>
      <c r="AN21" s="11"/>
      <c r="AO21" s="11"/>
      <c r="AP21" s="11"/>
      <c r="AQ21" s="15"/>
      <c r="AR21" s="15"/>
      <c r="AS21" s="16"/>
      <c r="AT21" s="11"/>
      <c r="AU21" s="11"/>
      <c r="AV21" s="11"/>
      <c r="AW21" s="11"/>
      <c r="AX21" s="11"/>
      <c r="AY21" s="16"/>
      <c r="AZ21" s="16"/>
      <c r="BA21" s="11"/>
      <c r="BB21" s="11"/>
      <c r="BC21" s="11"/>
      <c r="BD21" s="11"/>
      <c r="BE21" s="14"/>
      <c r="BF21" s="17"/>
      <c r="BG21" s="14"/>
      <c r="BH21" s="14"/>
      <c r="BI21" s="14"/>
      <c r="BJ21" s="14"/>
      <c r="BK21" s="18"/>
    </row>
    <row r="22" spans="1:63" ht="12.75">
      <c r="A22" s="11" t="s">
        <v>34</v>
      </c>
      <c r="B22" s="12">
        <f t="shared" si="1"/>
        <v>15</v>
      </c>
      <c r="C22" s="12">
        <v>2</v>
      </c>
      <c r="D22" s="11">
        <v>-1</v>
      </c>
      <c r="E22" s="13">
        <v>1</v>
      </c>
      <c r="F22" s="12">
        <v>2</v>
      </c>
      <c r="G22" s="12">
        <v>1</v>
      </c>
      <c r="H22" s="12">
        <v>1</v>
      </c>
      <c r="I22" s="12">
        <v>2</v>
      </c>
      <c r="J22" s="12">
        <v>-1</v>
      </c>
      <c r="K22" s="13">
        <v>2</v>
      </c>
      <c r="L22" s="14">
        <v>1</v>
      </c>
      <c r="M22" s="12">
        <v>-1</v>
      </c>
      <c r="N22" s="12">
        <v>2</v>
      </c>
      <c r="O22" s="12">
        <v>1</v>
      </c>
      <c r="P22" s="11">
        <v>1</v>
      </c>
      <c r="Q22" s="11">
        <v>1</v>
      </c>
      <c r="R22" s="11">
        <v>1</v>
      </c>
      <c r="S22" s="14" t="s">
        <v>15</v>
      </c>
      <c r="T22" s="20" t="s">
        <v>10</v>
      </c>
      <c r="U22" s="20" t="s">
        <v>11</v>
      </c>
      <c r="V22" s="21" t="s">
        <v>16</v>
      </c>
      <c r="W22" s="21" t="s">
        <v>13</v>
      </c>
      <c r="X22" s="15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5"/>
      <c r="AJ22" s="11"/>
      <c r="AK22" s="12"/>
      <c r="AL22" s="11"/>
      <c r="AM22" s="11"/>
      <c r="AN22" s="11"/>
      <c r="AO22" s="11"/>
      <c r="AP22" s="14"/>
      <c r="AQ22" s="15"/>
      <c r="AR22" s="15"/>
      <c r="AS22" s="16"/>
      <c r="AT22" s="11"/>
      <c r="AU22" s="16"/>
      <c r="AV22" s="11"/>
      <c r="AW22" s="11"/>
      <c r="AX22" s="11"/>
      <c r="AY22" s="16"/>
      <c r="AZ22" s="11"/>
      <c r="BA22" s="11"/>
      <c r="BB22" s="11"/>
      <c r="BC22" s="14"/>
      <c r="BD22" s="11"/>
      <c r="BE22" s="14"/>
      <c r="BF22" s="17"/>
      <c r="BG22" s="14"/>
      <c r="BH22" s="11"/>
      <c r="BI22" s="14"/>
      <c r="BJ22" s="22"/>
      <c r="BK22" s="23"/>
    </row>
    <row r="23" spans="1:63" ht="12.75">
      <c r="A23" s="11" t="s">
        <v>35</v>
      </c>
      <c r="B23" s="12">
        <f t="shared" si="1"/>
        <v>13</v>
      </c>
      <c r="C23" s="12">
        <v>2</v>
      </c>
      <c r="D23" s="11">
        <v>2</v>
      </c>
      <c r="E23" s="13">
        <v>1</v>
      </c>
      <c r="F23" s="13">
        <v>-1</v>
      </c>
      <c r="G23" s="12">
        <v>1</v>
      </c>
      <c r="H23" s="12">
        <v>1</v>
      </c>
      <c r="I23" s="12">
        <v>2</v>
      </c>
      <c r="J23" s="12">
        <v>-1</v>
      </c>
      <c r="K23" s="13">
        <v>2</v>
      </c>
      <c r="L23" s="11"/>
      <c r="M23" s="11"/>
      <c r="N23" s="11"/>
      <c r="O23" s="12">
        <v>1</v>
      </c>
      <c r="P23" s="11">
        <v>1</v>
      </c>
      <c r="Q23" s="11">
        <v>1</v>
      </c>
      <c r="R23" s="11">
        <v>1</v>
      </c>
      <c r="S23" s="14" t="s">
        <v>15</v>
      </c>
      <c r="T23" s="20" t="s">
        <v>10</v>
      </c>
      <c r="U23" s="20" t="s">
        <v>11</v>
      </c>
      <c r="V23" s="21" t="s">
        <v>16</v>
      </c>
      <c r="W23" s="21" t="s">
        <v>13</v>
      </c>
      <c r="X23" s="15"/>
      <c r="Y23" s="15"/>
      <c r="Z23" s="15"/>
      <c r="AA23" s="11"/>
      <c r="AB23" s="14"/>
      <c r="AC23" s="14"/>
      <c r="AD23" s="11"/>
      <c r="AE23" s="11"/>
      <c r="AF23" s="11"/>
      <c r="AG23" s="15"/>
      <c r="AH23" s="11"/>
      <c r="AI23" s="15"/>
      <c r="AJ23" s="15"/>
      <c r="AK23" s="12"/>
      <c r="AL23" s="15"/>
      <c r="AM23" s="14"/>
      <c r="AN23" s="11"/>
      <c r="AO23" s="11"/>
      <c r="AP23" s="11"/>
      <c r="AQ23" s="15"/>
      <c r="AR23" s="15"/>
      <c r="AS23" s="16"/>
      <c r="AT23" s="11"/>
      <c r="AU23" s="11"/>
      <c r="AV23" s="11"/>
      <c r="AW23" s="11"/>
      <c r="AX23" s="11"/>
      <c r="AY23" s="16"/>
      <c r="AZ23" s="16"/>
      <c r="BA23" s="11"/>
      <c r="BB23" s="11"/>
      <c r="BC23" s="14"/>
      <c r="BD23" s="11"/>
      <c r="BE23" s="14"/>
      <c r="BF23" s="17"/>
      <c r="BG23" s="14"/>
      <c r="BH23" s="14"/>
      <c r="BI23" s="14"/>
      <c r="BJ23" s="14"/>
      <c r="BK23" s="18"/>
    </row>
    <row r="24" spans="1:63" ht="12.75">
      <c r="A24" s="11" t="s">
        <v>36</v>
      </c>
      <c r="B24" s="12">
        <f t="shared" si="1"/>
        <v>15</v>
      </c>
      <c r="C24" s="12">
        <v>2</v>
      </c>
      <c r="D24" s="11">
        <v>2</v>
      </c>
      <c r="E24" s="13">
        <v>1</v>
      </c>
      <c r="F24" s="12">
        <v>2</v>
      </c>
      <c r="G24" s="12">
        <v>1</v>
      </c>
      <c r="H24" s="12">
        <v>1</v>
      </c>
      <c r="I24" s="12">
        <v>-1</v>
      </c>
      <c r="J24" s="12">
        <v>-1</v>
      </c>
      <c r="K24" s="13">
        <v>2</v>
      </c>
      <c r="L24" s="14">
        <v>1</v>
      </c>
      <c r="M24" s="12">
        <v>-1</v>
      </c>
      <c r="N24" s="12">
        <v>2</v>
      </c>
      <c r="O24" s="12">
        <v>1</v>
      </c>
      <c r="P24" s="11">
        <v>1</v>
      </c>
      <c r="Q24" s="11">
        <v>1</v>
      </c>
      <c r="R24" s="11">
        <v>1</v>
      </c>
      <c r="S24" s="14" t="s">
        <v>15</v>
      </c>
      <c r="T24" s="20" t="s">
        <v>10</v>
      </c>
      <c r="U24" s="20" t="s">
        <v>11</v>
      </c>
      <c r="V24" s="21" t="s">
        <v>16</v>
      </c>
      <c r="W24" s="21" t="s">
        <v>13</v>
      </c>
      <c r="X24" s="15"/>
      <c r="Y24" s="11"/>
      <c r="Z24" s="11"/>
      <c r="AA24" s="15"/>
      <c r="AB24" s="14"/>
      <c r="AC24" s="14"/>
      <c r="AD24" s="11"/>
      <c r="AE24" s="11"/>
      <c r="AF24" s="11"/>
      <c r="AG24" s="11"/>
      <c r="AH24" s="11"/>
      <c r="AI24" s="11"/>
      <c r="AJ24" s="11"/>
      <c r="AK24" s="12"/>
      <c r="AL24" s="15"/>
      <c r="AM24" s="14"/>
      <c r="AN24" s="11"/>
      <c r="AO24" s="11"/>
      <c r="AP24" s="14"/>
      <c r="AQ24" s="15"/>
      <c r="AR24" s="15"/>
      <c r="AS24" s="16"/>
      <c r="AT24" s="11"/>
      <c r="AU24" s="11"/>
      <c r="AV24" s="11"/>
      <c r="AW24" s="11"/>
      <c r="AX24" s="11"/>
      <c r="AY24" s="16"/>
      <c r="AZ24" s="11"/>
      <c r="BA24" s="11"/>
      <c r="BB24" s="11"/>
      <c r="BC24" s="14"/>
      <c r="BD24" s="11"/>
      <c r="BE24" s="14"/>
      <c r="BF24" s="24"/>
      <c r="BG24" s="11"/>
      <c r="BH24" s="11"/>
      <c r="BI24" s="19"/>
      <c r="BJ24" s="14"/>
      <c r="BK24" s="18"/>
    </row>
    <row r="25" spans="1:63" ht="12.75">
      <c r="A25" s="14" t="s">
        <v>37</v>
      </c>
      <c r="B25" s="12">
        <f t="shared" si="1"/>
        <v>18</v>
      </c>
      <c r="C25" s="12">
        <v>2</v>
      </c>
      <c r="D25" s="11">
        <v>2</v>
      </c>
      <c r="E25" s="13">
        <v>1</v>
      </c>
      <c r="F25" s="12">
        <v>2</v>
      </c>
      <c r="G25" s="12">
        <v>1</v>
      </c>
      <c r="H25" s="12">
        <v>1</v>
      </c>
      <c r="I25" s="12">
        <v>2</v>
      </c>
      <c r="J25" s="12">
        <v>-1</v>
      </c>
      <c r="K25" s="13">
        <v>2</v>
      </c>
      <c r="L25" s="14">
        <v>1</v>
      </c>
      <c r="M25" s="12">
        <v>-1</v>
      </c>
      <c r="N25" s="12">
        <v>2</v>
      </c>
      <c r="O25" s="12">
        <v>1</v>
      </c>
      <c r="P25" s="11">
        <v>1</v>
      </c>
      <c r="Q25" s="11">
        <v>1</v>
      </c>
      <c r="R25" s="11">
        <v>1</v>
      </c>
      <c r="S25" s="14" t="s">
        <v>15</v>
      </c>
      <c r="T25" s="20" t="s">
        <v>10</v>
      </c>
      <c r="U25" s="20" t="s">
        <v>11</v>
      </c>
      <c r="V25" s="21" t="s">
        <v>16</v>
      </c>
      <c r="W25" s="21" t="s">
        <v>13</v>
      </c>
      <c r="X25" s="15"/>
      <c r="Y25" s="15"/>
      <c r="Z25" s="15"/>
      <c r="AA25" s="15"/>
      <c r="AB25" s="14"/>
      <c r="AC25" s="14"/>
      <c r="AD25" s="11"/>
      <c r="AE25" s="11"/>
      <c r="AF25" s="15"/>
      <c r="AG25" s="15"/>
      <c r="AH25" s="11"/>
      <c r="AI25" s="15"/>
      <c r="AJ25" s="15"/>
      <c r="AK25" s="14"/>
      <c r="AL25" s="15"/>
      <c r="AM25" s="14"/>
      <c r="AN25" s="11"/>
      <c r="AO25" s="11"/>
      <c r="AP25" s="11"/>
      <c r="AQ25" s="15"/>
      <c r="AR25" s="15"/>
      <c r="AS25" s="16"/>
      <c r="AT25" s="11"/>
      <c r="AU25" s="16"/>
      <c r="AV25" s="11"/>
      <c r="AW25" s="11"/>
      <c r="AX25" s="11"/>
      <c r="AY25" s="16"/>
      <c r="AZ25" s="16"/>
      <c r="BA25" s="11"/>
      <c r="BB25" s="11"/>
      <c r="BC25" s="11"/>
      <c r="BD25" s="11"/>
      <c r="BE25" s="14"/>
      <c r="BF25" s="24"/>
      <c r="BG25" s="14"/>
      <c r="BH25" s="14"/>
      <c r="BI25" s="14"/>
      <c r="BJ25" s="22"/>
      <c r="BK25" s="23"/>
    </row>
    <row r="26" spans="1:63" ht="12.75">
      <c r="A26" s="11" t="s">
        <v>38</v>
      </c>
      <c r="B26" s="12">
        <f t="shared" si="1"/>
        <v>18</v>
      </c>
      <c r="C26" s="12">
        <v>2</v>
      </c>
      <c r="D26" s="11">
        <v>2</v>
      </c>
      <c r="E26" s="13">
        <v>1</v>
      </c>
      <c r="F26" s="13">
        <v>-1</v>
      </c>
      <c r="G26" s="12">
        <v>1</v>
      </c>
      <c r="H26" s="12">
        <v>1</v>
      </c>
      <c r="I26" s="12">
        <v>2</v>
      </c>
      <c r="J26" s="12">
        <v>2</v>
      </c>
      <c r="K26" s="13">
        <v>2</v>
      </c>
      <c r="L26" s="14">
        <v>1</v>
      </c>
      <c r="M26" s="12">
        <v>-1</v>
      </c>
      <c r="N26" s="12">
        <v>2</v>
      </c>
      <c r="O26" s="12">
        <v>1</v>
      </c>
      <c r="P26" s="11">
        <v>1</v>
      </c>
      <c r="Q26" s="11">
        <v>1</v>
      </c>
      <c r="R26" s="11">
        <v>1</v>
      </c>
      <c r="S26" s="11" t="s">
        <v>15</v>
      </c>
      <c r="T26" s="20" t="s">
        <v>10</v>
      </c>
      <c r="U26" s="20" t="s">
        <v>11</v>
      </c>
      <c r="V26" s="25" t="s">
        <v>16</v>
      </c>
      <c r="W26" s="25" t="s">
        <v>13</v>
      </c>
      <c r="X26" s="11"/>
      <c r="Y26" s="15"/>
      <c r="Z26" s="15"/>
      <c r="AA26" s="15"/>
      <c r="AB26" s="14"/>
      <c r="AC26" s="14"/>
      <c r="AD26" s="11"/>
      <c r="AE26" s="11"/>
      <c r="AF26" s="11"/>
      <c r="AG26" s="15"/>
      <c r="AH26" s="11"/>
      <c r="AI26" s="15"/>
      <c r="AJ26" s="15"/>
      <c r="AK26" s="12"/>
      <c r="AL26" s="15"/>
      <c r="AM26" s="14"/>
      <c r="AN26" s="11"/>
      <c r="AO26" s="11"/>
      <c r="AP26" s="14"/>
      <c r="AQ26" s="15"/>
      <c r="AR26" s="15"/>
      <c r="AS26" s="16"/>
      <c r="AT26" s="11"/>
      <c r="AU26" s="11"/>
      <c r="AV26" s="11"/>
      <c r="AW26" s="11"/>
      <c r="AX26" s="11"/>
      <c r="AY26" s="16"/>
      <c r="AZ26" s="16"/>
      <c r="BA26" s="11"/>
      <c r="BB26" s="11"/>
      <c r="BC26" s="14"/>
      <c r="BD26" s="11"/>
      <c r="BE26" s="14"/>
      <c r="BF26" s="17"/>
      <c r="BG26" s="14"/>
      <c r="BH26" s="14"/>
      <c r="BI26" s="14"/>
      <c r="BJ26" s="14"/>
      <c r="BK26" s="18"/>
    </row>
    <row r="27" spans="1:63" ht="12.75">
      <c r="A27" s="11" t="s">
        <v>39</v>
      </c>
      <c r="B27" s="12">
        <f t="shared" si="1"/>
        <v>14</v>
      </c>
      <c r="C27" s="13"/>
      <c r="D27" s="11"/>
      <c r="E27" s="12"/>
      <c r="F27" s="11"/>
      <c r="G27" s="12">
        <v>1</v>
      </c>
      <c r="H27" s="12">
        <v>1</v>
      </c>
      <c r="I27" s="12">
        <v>2</v>
      </c>
      <c r="J27" s="12">
        <v>2</v>
      </c>
      <c r="K27" s="13">
        <v>2</v>
      </c>
      <c r="L27" s="14">
        <v>1</v>
      </c>
      <c r="M27" s="12">
        <v>-1</v>
      </c>
      <c r="N27" s="12">
        <v>2</v>
      </c>
      <c r="O27" s="12">
        <v>1</v>
      </c>
      <c r="P27" s="11">
        <v>1</v>
      </c>
      <c r="Q27" s="11">
        <v>1</v>
      </c>
      <c r="R27" s="11">
        <v>1</v>
      </c>
      <c r="S27" s="14" t="s">
        <v>15</v>
      </c>
      <c r="T27" s="20" t="s">
        <v>10</v>
      </c>
      <c r="U27" s="20" t="s">
        <v>11</v>
      </c>
      <c r="V27" s="21" t="s">
        <v>16</v>
      </c>
      <c r="W27" s="21" t="s">
        <v>13</v>
      </c>
      <c r="X27" s="15"/>
      <c r="Y27" s="15"/>
      <c r="Z27" s="15"/>
      <c r="AA27" s="15"/>
      <c r="AB27" s="14"/>
      <c r="AC27" s="11"/>
      <c r="AD27" s="11"/>
      <c r="AE27" s="11"/>
      <c r="AF27" s="11"/>
      <c r="AG27" s="15"/>
      <c r="AH27" s="11"/>
      <c r="AI27" s="11"/>
      <c r="AJ27" s="15"/>
      <c r="AK27" s="14"/>
      <c r="AL27" s="15"/>
      <c r="AM27" s="14"/>
      <c r="AN27" s="11"/>
      <c r="AO27" s="11"/>
      <c r="AP27" s="11"/>
      <c r="AQ27" s="15"/>
      <c r="AR27" s="15"/>
      <c r="AS27" s="16"/>
      <c r="AT27" s="11"/>
      <c r="AU27" s="11"/>
      <c r="AV27" s="11"/>
      <c r="AW27" s="11"/>
      <c r="AX27" s="11"/>
      <c r="AY27" s="16"/>
      <c r="AZ27" s="16"/>
      <c r="BA27" s="11"/>
      <c r="BB27" s="11"/>
      <c r="BC27" s="11"/>
      <c r="BD27" s="11"/>
      <c r="BE27" s="14"/>
      <c r="BF27" s="24"/>
      <c r="BG27" s="14"/>
      <c r="BH27" s="11"/>
      <c r="BI27" s="14"/>
      <c r="BJ27" s="22"/>
      <c r="BK27" s="23"/>
    </row>
    <row r="28" spans="1:63" ht="12.75">
      <c r="A28" s="11" t="s">
        <v>40</v>
      </c>
      <c r="B28" s="12">
        <f t="shared" si="1"/>
        <v>14</v>
      </c>
      <c r="C28" s="13"/>
      <c r="D28" s="11"/>
      <c r="E28" s="13">
        <v>1</v>
      </c>
      <c r="F28" s="12">
        <v>2</v>
      </c>
      <c r="G28" s="12">
        <v>1</v>
      </c>
      <c r="H28" s="12">
        <v>1</v>
      </c>
      <c r="I28" s="12">
        <v>2</v>
      </c>
      <c r="J28" s="12">
        <v>-1</v>
      </c>
      <c r="K28" s="13">
        <v>2</v>
      </c>
      <c r="L28" s="14">
        <v>1</v>
      </c>
      <c r="M28" s="12">
        <v>-1</v>
      </c>
      <c r="N28" s="12">
        <v>2</v>
      </c>
      <c r="O28" s="12">
        <v>1</v>
      </c>
      <c r="P28" s="11">
        <v>1</v>
      </c>
      <c r="Q28" s="11">
        <v>1</v>
      </c>
      <c r="R28" s="11">
        <v>1</v>
      </c>
      <c r="S28" s="14" t="s">
        <v>15</v>
      </c>
      <c r="T28" s="20" t="s">
        <v>27</v>
      </c>
      <c r="U28" s="20" t="s">
        <v>11</v>
      </c>
      <c r="V28" s="21" t="s">
        <v>16</v>
      </c>
      <c r="W28" s="21" t="s">
        <v>13</v>
      </c>
      <c r="X28" s="15"/>
      <c r="Y28" s="15"/>
      <c r="Z28" s="15"/>
      <c r="AA28" s="15"/>
      <c r="AB28" s="14"/>
      <c r="AC28" s="14"/>
      <c r="AD28" s="11"/>
      <c r="AE28" s="11"/>
      <c r="AF28" s="15"/>
      <c r="AG28" s="15"/>
      <c r="AH28" s="11"/>
      <c r="AI28" s="15"/>
      <c r="AJ28" s="15"/>
      <c r="AK28" s="12"/>
      <c r="AL28" s="15"/>
      <c r="AM28" s="14"/>
      <c r="AN28" s="11"/>
      <c r="AO28" s="11"/>
      <c r="AP28" s="11"/>
      <c r="AQ28" s="15"/>
      <c r="AR28" s="15"/>
      <c r="AS28" s="16"/>
      <c r="AT28" s="11"/>
      <c r="AU28" s="11"/>
      <c r="AV28" s="11"/>
      <c r="AW28" s="11"/>
      <c r="AX28" s="11"/>
      <c r="AY28" s="16"/>
      <c r="AZ28" s="16"/>
      <c r="BA28" s="11"/>
      <c r="BB28" s="11"/>
      <c r="BC28" s="11"/>
      <c r="BD28" s="11"/>
      <c r="BE28" s="14"/>
      <c r="BF28" s="17"/>
      <c r="BG28" s="14"/>
      <c r="BH28" s="14"/>
      <c r="BI28" s="14"/>
      <c r="BJ28" s="14"/>
      <c r="BK28" s="18"/>
    </row>
    <row r="29" spans="1:63" ht="12.75">
      <c r="A29" s="11" t="s">
        <v>41</v>
      </c>
      <c r="B29" s="12">
        <f t="shared" si="1"/>
        <v>14</v>
      </c>
      <c r="C29" s="12"/>
      <c r="D29" s="11"/>
      <c r="E29" s="13">
        <v>1</v>
      </c>
      <c r="F29" s="12">
        <v>2</v>
      </c>
      <c r="G29" s="12">
        <v>1</v>
      </c>
      <c r="H29" s="12">
        <v>1</v>
      </c>
      <c r="I29" s="12">
        <v>2</v>
      </c>
      <c r="J29" s="12">
        <v>-1</v>
      </c>
      <c r="K29" s="13">
        <v>2</v>
      </c>
      <c r="L29" s="14">
        <v>1</v>
      </c>
      <c r="M29" s="12">
        <v>-1</v>
      </c>
      <c r="N29" s="12">
        <v>2</v>
      </c>
      <c r="O29" s="12">
        <v>1</v>
      </c>
      <c r="P29" s="11">
        <v>1</v>
      </c>
      <c r="Q29" s="11">
        <v>1</v>
      </c>
      <c r="R29" s="11">
        <v>1</v>
      </c>
      <c r="S29" s="14" t="s">
        <v>15</v>
      </c>
      <c r="T29" s="20" t="s">
        <v>10</v>
      </c>
      <c r="U29" s="20" t="s">
        <v>11</v>
      </c>
      <c r="V29" s="21" t="s">
        <v>16</v>
      </c>
      <c r="W29" s="21" t="s">
        <v>13</v>
      </c>
      <c r="X29" s="15"/>
      <c r="Y29" s="15"/>
      <c r="Z29" s="15"/>
      <c r="AA29" s="15"/>
      <c r="AB29" s="14"/>
      <c r="AC29" s="14"/>
      <c r="AD29" s="11"/>
      <c r="AE29" s="11"/>
      <c r="AF29" s="11"/>
      <c r="AG29" s="11"/>
      <c r="AH29" s="11"/>
      <c r="AI29" s="15"/>
      <c r="AJ29" s="15"/>
      <c r="AK29" s="14"/>
      <c r="AL29" s="15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6"/>
      <c r="AZ29" s="16"/>
      <c r="BA29" s="11"/>
      <c r="BB29" s="11"/>
      <c r="BC29" s="11"/>
      <c r="BD29" s="11"/>
      <c r="BE29" s="14"/>
      <c r="BF29" s="17"/>
      <c r="BG29" s="14"/>
      <c r="BH29" s="14"/>
      <c r="BI29" s="14"/>
      <c r="BJ29" s="14"/>
      <c r="BK29" s="18"/>
    </row>
    <row r="30" spans="1:63" ht="12.75">
      <c r="A30" s="14" t="s">
        <v>42</v>
      </c>
      <c r="B30" s="12">
        <f t="shared" si="1"/>
        <v>8</v>
      </c>
      <c r="C30" s="12"/>
      <c r="D30" s="11"/>
      <c r="E30" s="13">
        <v>1</v>
      </c>
      <c r="F30" s="12">
        <v>2</v>
      </c>
      <c r="G30" s="12">
        <v>1</v>
      </c>
      <c r="H30" s="12">
        <v>1</v>
      </c>
      <c r="I30" s="12"/>
      <c r="J30" s="12"/>
      <c r="K30" s="13"/>
      <c r="L30" s="14"/>
      <c r="M30" s="12"/>
      <c r="N30" s="12"/>
      <c r="O30" s="12"/>
      <c r="P30" s="11">
        <v>1</v>
      </c>
      <c r="Q30" s="11">
        <v>1</v>
      </c>
      <c r="R30" s="11">
        <v>1</v>
      </c>
      <c r="S30" s="11"/>
      <c r="T30" s="15"/>
      <c r="U30" s="15"/>
      <c r="V30" s="11"/>
      <c r="W30" s="15"/>
      <c r="X30" s="15"/>
      <c r="Y30" s="15"/>
      <c r="Z30" s="15"/>
      <c r="AA30" s="15"/>
      <c r="AB30" s="14"/>
      <c r="AC30" s="14"/>
      <c r="AD30" s="11"/>
      <c r="AE30" s="11"/>
      <c r="AF30" s="11"/>
      <c r="AG30" s="15"/>
      <c r="AH30" s="11"/>
      <c r="AI30" s="15"/>
      <c r="AJ30" s="15"/>
      <c r="AK30" s="12"/>
      <c r="AL30" s="15"/>
      <c r="AM30" s="14"/>
      <c r="AN30" s="11"/>
      <c r="AO30" s="11"/>
      <c r="AP30" s="14"/>
      <c r="AQ30" s="15"/>
      <c r="AR30" s="15"/>
      <c r="AS30" s="16"/>
      <c r="AT30" s="11"/>
      <c r="AU30" s="11"/>
      <c r="AV30" s="11"/>
      <c r="AW30" s="11"/>
      <c r="AX30" s="11"/>
      <c r="AY30" s="16"/>
      <c r="AZ30" s="16"/>
      <c r="BA30" s="11"/>
      <c r="BB30" s="11"/>
      <c r="BC30" s="11"/>
      <c r="BD30" s="11"/>
      <c r="BE30" s="14"/>
      <c r="BF30" s="17"/>
      <c r="BG30" s="14"/>
      <c r="BH30" s="14"/>
      <c r="BI30" s="14"/>
      <c r="BJ30" s="22"/>
      <c r="BK30" s="23"/>
    </row>
    <row r="31" spans="1:63" ht="12.75">
      <c r="A31" s="11" t="s">
        <v>43</v>
      </c>
      <c r="B31" s="12">
        <f t="shared" si="1"/>
        <v>16</v>
      </c>
      <c r="C31" s="12">
        <v>2</v>
      </c>
      <c r="D31" s="11">
        <v>2</v>
      </c>
      <c r="E31" s="13">
        <v>1</v>
      </c>
      <c r="F31" s="12">
        <v>2</v>
      </c>
      <c r="G31" s="12"/>
      <c r="H31" s="26"/>
      <c r="I31" s="12">
        <v>2</v>
      </c>
      <c r="J31" s="12">
        <v>-1</v>
      </c>
      <c r="K31" s="13">
        <v>2</v>
      </c>
      <c r="L31" s="14">
        <v>1</v>
      </c>
      <c r="M31" s="26">
        <v>-1</v>
      </c>
      <c r="N31" s="12">
        <v>2</v>
      </c>
      <c r="O31" s="12">
        <v>1</v>
      </c>
      <c r="P31" s="11">
        <v>1</v>
      </c>
      <c r="Q31" s="11">
        <v>1</v>
      </c>
      <c r="R31" s="11">
        <v>1</v>
      </c>
      <c r="S31" s="12"/>
      <c r="T31" s="20"/>
      <c r="U31" s="20"/>
      <c r="V31" s="25"/>
      <c r="W31" s="20"/>
      <c r="X31" s="15"/>
      <c r="Y31" s="15"/>
      <c r="Z31" s="15"/>
      <c r="AA31" s="15"/>
      <c r="AB31" s="14"/>
      <c r="AC31" s="11"/>
      <c r="AD31" s="11"/>
      <c r="AE31" s="11"/>
      <c r="AF31" s="15"/>
      <c r="AG31" s="15"/>
      <c r="AH31" s="11"/>
      <c r="AI31" s="11"/>
      <c r="AJ31" s="15"/>
      <c r="AK31" s="12"/>
      <c r="AL31" s="15"/>
      <c r="AM31" s="14"/>
      <c r="AN31" s="11"/>
      <c r="AO31" s="11"/>
      <c r="AP31" s="11"/>
      <c r="AQ31" s="15"/>
      <c r="AR31" s="15"/>
      <c r="AS31" s="16"/>
      <c r="AT31" s="11"/>
      <c r="AU31" s="11"/>
      <c r="AV31" s="11"/>
      <c r="AW31" s="11"/>
      <c r="AX31" s="11"/>
      <c r="AY31" s="16"/>
      <c r="AZ31" s="16"/>
      <c r="BA31" s="11"/>
      <c r="BB31" s="11"/>
      <c r="BC31" s="14"/>
      <c r="BD31" s="11"/>
      <c r="BE31" s="11"/>
      <c r="BF31" s="17"/>
      <c r="BG31" s="14"/>
      <c r="BH31" s="14"/>
      <c r="BI31" s="14"/>
      <c r="BJ31" s="14"/>
      <c r="BK31" s="18"/>
    </row>
    <row r="32" spans="1:63" ht="12.75">
      <c r="A32" s="11" t="s">
        <v>44</v>
      </c>
      <c r="B32" s="12">
        <f t="shared" si="1"/>
        <v>17</v>
      </c>
      <c r="C32" s="13"/>
      <c r="D32" s="11"/>
      <c r="E32" s="13">
        <v>1</v>
      </c>
      <c r="F32" s="13">
        <v>-1</v>
      </c>
      <c r="G32" s="12">
        <v>1</v>
      </c>
      <c r="H32" s="12">
        <v>1</v>
      </c>
      <c r="I32" s="12">
        <v>2</v>
      </c>
      <c r="J32" s="12">
        <v>2</v>
      </c>
      <c r="K32" s="13">
        <v>2</v>
      </c>
      <c r="L32" s="14">
        <v>1</v>
      </c>
      <c r="M32" s="14">
        <v>2</v>
      </c>
      <c r="N32" s="12">
        <v>2</v>
      </c>
      <c r="O32" s="12">
        <v>1</v>
      </c>
      <c r="P32" s="11">
        <v>1</v>
      </c>
      <c r="Q32" s="11">
        <v>1</v>
      </c>
      <c r="R32" s="11">
        <v>1</v>
      </c>
      <c r="S32" s="14" t="s">
        <v>15</v>
      </c>
      <c r="T32" s="15" t="s">
        <v>10</v>
      </c>
      <c r="U32" s="15" t="s">
        <v>11</v>
      </c>
      <c r="V32" s="14" t="s">
        <v>16</v>
      </c>
      <c r="W32" s="14" t="s">
        <v>13</v>
      </c>
      <c r="X32" s="15"/>
      <c r="Y32" s="15"/>
      <c r="Z32" s="15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24"/>
      <c r="BG32" s="11"/>
      <c r="BH32" s="11"/>
      <c r="BI32" s="11"/>
      <c r="BJ32" s="11"/>
    </row>
    <row r="33" spans="1:63" ht="12.75">
      <c r="A33" s="11" t="s">
        <v>45</v>
      </c>
      <c r="B33" s="12">
        <f t="shared" si="1"/>
        <v>11</v>
      </c>
      <c r="C33" s="13"/>
      <c r="D33" s="11"/>
      <c r="E33" s="13">
        <v>1</v>
      </c>
      <c r="F33" s="13">
        <v>-1</v>
      </c>
      <c r="G33" s="12"/>
      <c r="H33" s="12"/>
      <c r="I33" s="12"/>
      <c r="J33" s="12"/>
      <c r="K33" s="13">
        <v>2</v>
      </c>
      <c r="L33" s="14">
        <v>1</v>
      </c>
      <c r="M33" s="14">
        <v>2</v>
      </c>
      <c r="N33" s="12">
        <v>2</v>
      </c>
      <c r="O33" s="12">
        <v>1</v>
      </c>
      <c r="P33" s="11">
        <v>1</v>
      </c>
      <c r="Q33" s="11">
        <v>1</v>
      </c>
      <c r="R33" s="11">
        <v>1</v>
      </c>
      <c r="S33" s="14" t="s">
        <v>15</v>
      </c>
      <c r="T33" s="20" t="s">
        <v>10</v>
      </c>
      <c r="U33" s="20" t="s">
        <v>11</v>
      </c>
      <c r="V33" s="21" t="s">
        <v>16</v>
      </c>
      <c r="W33" s="21" t="s">
        <v>13</v>
      </c>
      <c r="X33" s="15"/>
      <c r="Y33" s="15"/>
      <c r="Z33" s="15"/>
      <c r="AA33" s="15"/>
      <c r="AB33" s="14"/>
      <c r="AC33" s="14"/>
      <c r="AD33" s="11"/>
      <c r="AE33" s="11"/>
      <c r="AF33" s="15"/>
      <c r="AG33" s="15"/>
      <c r="AH33" s="11"/>
      <c r="AI33" s="15"/>
      <c r="AJ33" s="15"/>
      <c r="AK33" s="14"/>
      <c r="AL33" s="15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6"/>
      <c r="AZ33" s="16"/>
      <c r="BA33" s="11"/>
      <c r="BB33" s="11"/>
      <c r="BC33" s="11"/>
      <c r="BD33" s="11"/>
      <c r="BE33" s="14"/>
      <c r="BF33" s="17"/>
      <c r="BG33" s="14"/>
      <c r="BH33" s="14"/>
      <c r="BI33" s="14"/>
      <c r="BJ33" s="14"/>
      <c r="BK33" s="18"/>
    </row>
    <row r="34" spans="1:63" ht="12.75">
      <c r="A34" s="11"/>
      <c r="B34" s="12"/>
      <c r="C34" s="12"/>
      <c r="D34" s="11"/>
      <c r="E34" s="12"/>
      <c r="F34" s="12"/>
      <c r="G34" s="12"/>
      <c r="H34" s="12"/>
      <c r="I34" s="12"/>
      <c r="J34" s="12"/>
      <c r="K34" s="11"/>
      <c r="L34" s="14"/>
      <c r="M34" s="12"/>
      <c r="O34" s="11"/>
      <c r="P34" s="11"/>
      <c r="Q34" s="11"/>
      <c r="R34" s="11"/>
      <c r="S34" s="12"/>
      <c r="T34" s="15"/>
      <c r="U34" s="15"/>
      <c r="V34" s="11"/>
      <c r="W34" s="15"/>
      <c r="X34" s="15"/>
      <c r="Y34" s="15"/>
      <c r="Z34" s="15"/>
      <c r="AA34" s="15"/>
      <c r="AB34" s="14"/>
      <c r="AC34" s="14"/>
      <c r="AD34" s="11"/>
      <c r="AE34" s="11"/>
      <c r="AF34" s="11"/>
      <c r="AG34" s="11"/>
      <c r="AH34" s="11"/>
      <c r="AI34" s="15"/>
      <c r="AJ34" s="15"/>
      <c r="AK34" s="12"/>
      <c r="AL34" s="15"/>
      <c r="AM34" s="14"/>
      <c r="AN34" s="11"/>
      <c r="AO34" s="11"/>
      <c r="AP34" s="11"/>
      <c r="AQ34" s="15"/>
      <c r="AR34" s="15"/>
      <c r="AS34" s="16"/>
      <c r="AT34" s="11"/>
      <c r="AU34" s="11"/>
      <c r="AV34" s="11"/>
      <c r="AW34" s="11"/>
      <c r="AX34" s="11"/>
      <c r="AY34" s="16"/>
      <c r="AZ34" s="16"/>
      <c r="BA34" s="11"/>
      <c r="BB34" s="11"/>
      <c r="BC34" s="11"/>
      <c r="BD34" s="11"/>
      <c r="BE34" s="14"/>
      <c r="BF34" s="17"/>
      <c r="BG34" s="14"/>
      <c r="BH34" s="14"/>
      <c r="BI34" s="14"/>
      <c r="BJ34" s="14"/>
      <c r="BK34" s="18"/>
    </row>
    <row r="35" spans="1:63" ht="12.75">
      <c r="A35" s="14"/>
      <c r="B35" s="15"/>
      <c r="C35" s="15"/>
      <c r="D35" s="11"/>
      <c r="E35" s="12"/>
      <c r="F35" s="15"/>
      <c r="G35" s="15"/>
      <c r="H35" s="15"/>
      <c r="I35" s="15"/>
      <c r="J35" s="15"/>
      <c r="K35" s="11"/>
      <c r="L35" s="14"/>
      <c r="M35" s="15"/>
      <c r="N35" s="12"/>
      <c r="O35" s="11"/>
      <c r="P35" s="11"/>
      <c r="Q35" s="11"/>
      <c r="R35" s="14"/>
      <c r="S35" s="12"/>
      <c r="T35" s="15"/>
      <c r="U35" s="15"/>
      <c r="V35" s="11"/>
      <c r="W35" s="15"/>
      <c r="X35" s="15"/>
      <c r="Y35" s="15"/>
      <c r="Z35" s="15"/>
      <c r="AA35" s="15"/>
      <c r="AB35" s="14"/>
      <c r="AC35" s="14"/>
      <c r="AD35" s="11"/>
      <c r="AE35" s="11"/>
      <c r="AF35" s="15"/>
      <c r="AG35" s="15"/>
      <c r="AH35" s="11"/>
      <c r="AI35" s="15"/>
      <c r="AJ35" s="15"/>
      <c r="AK35" s="12"/>
      <c r="AL35" s="15"/>
      <c r="AM35" s="14"/>
      <c r="AN35" s="11"/>
      <c r="AO35" s="11"/>
      <c r="AP35" s="11"/>
      <c r="AQ35" s="15"/>
      <c r="AR35" s="15"/>
      <c r="AS35" s="16"/>
      <c r="AT35" s="11"/>
      <c r="AU35" s="11"/>
      <c r="AV35" s="11"/>
      <c r="AW35" s="11"/>
      <c r="AX35" s="11"/>
      <c r="AY35" s="16"/>
      <c r="AZ35" s="16"/>
      <c r="BA35" s="11"/>
      <c r="BB35" s="11"/>
      <c r="BC35" s="14"/>
      <c r="BD35" s="11"/>
      <c r="BE35" s="14"/>
      <c r="BF35" s="17"/>
      <c r="BG35" s="14"/>
      <c r="BH35" s="14"/>
      <c r="BI35" s="14"/>
      <c r="BJ35" s="14"/>
      <c r="BK35" s="18"/>
    </row>
    <row r="36" spans="1:63" ht="12.75">
      <c r="A36" s="11"/>
      <c r="B36" s="15"/>
      <c r="C36" s="13"/>
      <c r="D36" s="11"/>
      <c r="E36" s="12"/>
      <c r="F36" s="15"/>
      <c r="G36" s="15"/>
      <c r="H36" s="15"/>
      <c r="I36" s="15"/>
      <c r="J36" s="15"/>
      <c r="K36" s="11"/>
      <c r="L36" s="14"/>
      <c r="M36" s="15"/>
      <c r="N36" s="12"/>
      <c r="O36" s="15"/>
      <c r="P36" s="11"/>
      <c r="Q36" s="11"/>
      <c r="R36" s="14"/>
      <c r="S36" s="11"/>
      <c r="T36" s="15"/>
      <c r="U36" s="15"/>
      <c r="V36" s="11"/>
      <c r="W36" s="15"/>
      <c r="X36" s="15"/>
      <c r="Y36" s="15"/>
      <c r="Z36" s="15"/>
      <c r="AA36" s="15"/>
      <c r="AB36" s="14"/>
      <c r="AC36" s="14"/>
      <c r="AD36" s="11"/>
      <c r="AE36" s="11"/>
      <c r="AF36" s="15"/>
      <c r="AG36" s="15"/>
      <c r="AH36" s="11"/>
      <c r="AI36" s="15"/>
      <c r="AJ36" s="15"/>
      <c r="AK36" s="12"/>
      <c r="AL36" s="15"/>
      <c r="AM36" s="14"/>
      <c r="AN36" s="11"/>
      <c r="AO36" s="11"/>
      <c r="AP36" s="11"/>
      <c r="AQ36" s="15"/>
      <c r="AR36" s="15"/>
      <c r="AS36" s="16"/>
      <c r="AT36" s="11"/>
      <c r="AU36" s="11"/>
      <c r="AV36" s="11"/>
      <c r="AW36" s="11"/>
      <c r="AX36" s="11"/>
      <c r="AY36" s="16"/>
      <c r="AZ36" s="16"/>
      <c r="BA36" s="11"/>
      <c r="BB36" s="11"/>
      <c r="BC36" s="14"/>
      <c r="BD36" s="11"/>
      <c r="BE36" s="14"/>
      <c r="BF36" s="17"/>
      <c r="BG36" s="14"/>
      <c r="BH36" s="14"/>
      <c r="BI36" s="14"/>
      <c r="BJ36" s="14"/>
      <c r="BK36" s="18"/>
    </row>
    <row r="37" spans="1:63" ht="12.75">
      <c r="A37" s="11"/>
      <c r="B37" s="15"/>
      <c r="C37" s="13"/>
      <c r="D37" s="11"/>
      <c r="E37" s="15"/>
      <c r="F37" s="15"/>
      <c r="G37" s="11"/>
      <c r="H37" s="15"/>
      <c r="I37" s="15"/>
      <c r="J37" s="15"/>
      <c r="K37" s="11"/>
      <c r="L37" s="11"/>
      <c r="M37" s="14"/>
      <c r="N37" s="11"/>
      <c r="O37" s="15"/>
      <c r="P37" s="11"/>
      <c r="Q37" s="11"/>
      <c r="R37" s="11"/>
      <c r="S37" s="11"/>
      <c r="T37" s="11"/>
      <c r="U37" s="15"/>
      <c r="V37" s="11"/>
      <c r="W37" s="15"/>
      <c r="X37" s="15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4"/>
      <c r="AL37" s="11"/>
      <c r="AM37" s="11"/>
      <c r="AN37" s="11"/>
      <c r="AO37" s="11"/>
      <c r="AP37" s="14"/>
      <c r="AQ37" s="15"/>
      <c r="AR37" s="15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24"/>
      <c r="BG37" s="11"/>
      <c r="BH37" s="11"/>
      <c r="BI37" s="11"/>
      <c r="BJ37" s="11"/>
    </row>
    <row r="38" spans="1:63" ht="12.75">
      <c r="A38" s="11"/>
      <c r="B38" s="15"/>
      <c r="C38" s="13"/>
      <c r="D38" s="11"/>
      <c r="E38" s="12"/>
      <c r="F38" s="15"/>
      <c r="G38" s="15"/>
      <c r="H38" s="15"/>
      <c r="I38" s="15"/>
      <c r="J38" s="15"/>
      <c r="K38" s="11"/>
      <c r="L38" s="11"/>
      <c r="M38" s="15"/>
      <c r="N38" s="12"/>
      <c r="O38" s="15"/>
      <c r="P38" s="11"/>
      <c r="Q38" s="11"/>
      <c r="R38" s="14"/>
      <c r="S38" s="12"/>
      <c r="T38" s="15"/>
      <c r="U38" s="15"/>
      <c r="V38" s="11"/>
      <c r="W38" s="15"/>
      <c r="X38" s="15"/>
      <c r="Y38" s="15"/>
      <c r="Z38" s="15"/>
      <c r="AA38" s="11"/>
      <c r="AB38" s="11"/>
      <c r="AC38" s="11"/>
      <c r="AD38" s="11"/>
      <c r="AE38" s="11"/>
      <c r="AF38" s="15"/>
      <c r="AG38" s="15"/>
      <c r="AH38" s="11"/>
      <c r="AI38" s="15"/>
      <c r="AJ38" s="15"/>
      <c r="AK38" s="14"/>
      <c r="AL38" s="15"/>
      <c r="AM38" s="14"/>
      <c r="AN38" s="11"/>
      <c r="AO38" s="11"/>
      <c r="AP38" s="11"/>
      <c r="AQ38" s="15"/>
      <c r="AR38" s="15"/>
      <c r="AS38" s="16"/>
      <c r="AT38" s="11"/>
      <c r="AU38" s="11"/>
      <c r="AV38" s="11"/>
      <c r="AW38" s="11"/>
      <c r="AX38" s="11"/>
      <c r="AY38" s="16"/>
      <c r="AZ38" s="16"/>
      <c r="BA38" s="11"/>
      <c r="BB38" s="11"/>
      <c r="BC38" s="11"/>
      <c r="BD38" s="11"/>
      <c r="BE38" s="14"/>
      <c r="BF38" s="17"/>
      <c r="BG38" s="14"/>
      <c r="BH38" s="14"/>
      <c r="BI38" s="14"/>
      <c r="BJ38" s="14"/>
      <c r="BK38" s="18"/>
    </row>
    <row r="39" spans="1:63" ht="12.75">
      <c r="A39" s="11"/>
      <c r="B39" s="15"/>
      <c r="C39" s="15"/>
      <c r="D39" s="11"/>
      <c r="E39" s="12"/>
      <c r="F39" s="15"/>
      <c r="G39" s="15"/>
      <c r="H39" s="15"/>
      <c r="I39" s="15"/>
      <c r="J39" s="15"/>
      <c r="K39" s="11"/>
      <c r="L39" s="14"/>
      <c r="M39" s="15"/>
      <c r="N39" s="12"/>
      <c r="O39" s="15"/>
      <c r="P39" s="11"/>
      <c r="Q39" s="11"/>
      <c r="R39" s="14"/>
      <c r="S39" s="12"/>
      <c r="T39" s="15"/>
      <c r="U39" s="15"/>
      <c r="V39" s="11"/>
      <c r="W39" s="15"/>
      <c r="X39" s="15"/>
      <c r="Y39" s="15"/>
      <c r="Z39" s="15"/>
      <c r="AA39" s="15"/>
      <c r="AB39" s="14"/>
      <c r="AC39" s="14"/>
      <c r="AD39" s="11"/>
      <c r="AE39" s="11"/>
      <c r="AF39" s="11"/>
      <c r="AG39" s="15"/>
      <c r="AH39" s="11"/>
      <c r="AI39" s="15"/>
      <c r="AJ39" s="15"/>
      <c r="AK39" s="14"/>
      <c r="AL39" s="15"/>
      <c r="AM39" s="14"/>
      <c r="AN39" s="11"/>
      <c r="AO39" s="11"/>
      <c r="AP39" s="11"/>
      <c r="AQ39" s="15"/>
      <c r="AR39" s="15"/>
      <c r="AS39" s="16"/>
      <c r="AT39" s="11"/>
      <c r="AU39" s="11"/>
      <c r="AV39" s="11"/>
      <c r="AW39" s="11"/>
      <c r="AX39" s="11"/>
      <c r="AY39" s="16"/>
      <c r="AZ39" s="16"/>
      <c r="BA39" s="11"/>
      <c r="BB39" s="11"/>
      <c r="BC39" s="11"/>
      <c r="BD39" s="11"/>
      <c r="BE39" s="14"/>
      <c r="BF39" s="17"/>
      <c r="BG39" s="14"/>
      <c r="BH39" s="14"/>
      <c r="BI39" s="14"/>
      <c r="BJ39" s="14"/>
      <c r="BK39" s="18"/>
    </row>
    <row r="40" spans="1:63" ht="12.75">
      <c r="A40" s="11"/>
      <c r="B40" s="15"/>
      <c r="C40" s="15"/>
      <c r="D40" s="11"/>
      <c r="E40" s="12"/>
      <c r="F40" s="15"/>
      <c r="G40" s="15"/>
      <c r="H40" s="15"/>
      <c r="I40" s="15"/>
      <c r="J40" s="15"/>
      <c r="K40" s="11"/>
      <c r="L40" s="14"/>
      <c r="M40" s="15"/>
      <c r="N40" s="12"/>
      <c r="O40" s="15"/>
      <c r="P40" s="11"/>
      <c r="Q40" s="11"/>
      <c r="R40" s="14"/>
      <c r="S40" s="12"/>
      <c r="T40" s="15"/>
      <c r="U40" s="15"/>
      <c r="V40" s="11"/>
      <c r="W40" s="15"/>
      <c r="X40" s="15"/>
      <c r="Y40" s="15"/>
      <c r="Z40" s="15"/>
      <c r="AA40" s="15"/>
      <c r="AB40" s="14"/>
      <c r="AC40" s="14"/>
      <c r="AD40" s="11"/>
      <c r="AE40" s="11"/>
      <c r="AF40" s="15"/>
      <c r="AG40" s="15"/>
      <c r="AH40" s="11"/>
      <c r="AI40" s="15"/>
      <c r="AJ40" s="15"/>
      <c r="AK40" s="12"/>
      <c r="AL40" s="15"/>
      <c r="AM40" s="14"/>
      <c r="AN40" s="11"/>
      <c r="AO40" s="11"/>
      <c r="AP40" s="11"/>
      <c r="AQ40" s="15"/>
      <c r="AR40" s="15"/>
      <c r="AS40" s="16"/>
      <c r="AT40" s="11"/>
      <c r="AU40" s="11"/>
      <c r="AV40" s="11"/>
      <c r="AW40" s="11"/>
      <c r="AX40" s="11"/>
      <c r="AY40" s="16"/>
      <c r="AZ40" s="16"/>
      <c r="BA40" s="11"/>
      <c r="BB40" s="11"/>
      <c r="BC40" s="11"/>
      <c r="BD40" s="11"/>
      <c r="BE40" s="14"/>
      <c r="BF40" s="17"/>
      <c r="BG40" s="14"/>
      <c r="BH40" s="14"/>
      <c r="BI40" s="14"/>
      <c r="BJ40" s="14"/>
      <c r="BK40" s="18"/>
    </row>
    <row r="41" spans="1:63" ht="12.75">
      <c r="A41" s="11"/>
      <c r="B41" s="15"/>
      <c r="C41" s="13"/>
      <c r="D41" s="11"/>
      <c r="E41" s="12"/>
      <c r="F41" s="15"/>
      <c r="G41" s="11"/>
      <c r="H41" s="15"/>
      <c r="I41" s="15"/>
      <c r="J41" s="15"/>
      <c r="K41" s="11"/>
      <c r="L41" s="11"/>
      <c r="M41" s="14"/>
      <c r="N41" s="11"/>
      <c r="O41" s="11"/>
      <c r="P41" s="11"/>
      <c r="Q41" s="11"/>
      <c r="R41" s="11"/>
      <c r="S41" s="11"/>
      <c r="T41" s="11"/>
      <c r="U41" s="15"/>
      <c r="V41" s="11"/>
      <c r="W41" s="15"/>
      <c r="X41" s="15"/>
      <c r="Y41" s="11"/>
      <c r="Z41" s="11"/>
      <c r="AA41" s="11"/>
      <c r="AB41" s="11"/>
      <c r="AC41" s="11"/>
      <c r="AD41" s="11"/>
      <c r="AE41" s="11"/>
      <c r="AF41" s="15"/>
      <c r="AG41" s="11"/>
      <c r="AH41" s="11"/>
      <c r="AI41" s="11"/>
      <c r="AJ41" s="11"/>
      <c r="AK41" s="12"/>
      <c r="AL41" s="11"/>
      <c r="AM41" s="11"/>
      <c r="AN41" s="11"/>
      <c r="AO41" s="11"/>
      <c r="AP41" s="14"/>
      <c r="AQ41" s="15"/>
      <c r="AR41" s="15"/>
      <c r="AS41" s="11"/>
      <c r="AT41" s="11"/>
      <c r="AU41" s="16"/>
      <c r="AV41" s="11"/>
      <c r="AW41" s="11"/>
      <c r="AX41" s="11"/>
      <c r="AY41" s="16"/>
      <c r="AZ41" s="11"/>
      <c r="BA41" s="11"/>
      <c r="BB41" s="11"/>
      <c r="BC41" s="14"/>
      <c r="BD41" s="11"/>
      <c r="BE41" s="11"/>
      <c r="BF41" s="24"/>
      <c r="BG41" s="11"/>
      <c r="BH41" s="11"/>
      <c r="BI41" s="19"/>
      <c r="BJ41" s="22"/>
      <c r="BK41" s="23"/>
    </row>
    <row r="42" spans="1:63" ht="12.75">
      <c r="A42" s="14"/>
      <c r="B42" s="15"/>
      <c r="C42" s="15"/>
      <c r="D42" s="11"/>
      <c r="E42" s="12"/>
      <c r="F42" s="15"/>
      <c r="G42" s="15"/>
      <c r="H42" s="15"/>
      <c r="I42" s="15"/>
      <c r="J42" s="15"/>
      <c r="K42" s="11"/>
      <c r="L42" s="14"/>
      <c r="M42" s="15"/>
      <c r="N42" s="12"/>
      <c r="O42" s="11"/>
      <c r="P42" s="11"/>
      <c r="Q42" s="11"/>
      <c r="R42" s="14"/>
      <c r="S42" s="11"/>
      <c r="T42" s="15"/>
      <c r="U42" s="15"/>
      <c r="V42" s="11"/>
      <c r="W42" s="15"/>
      <c r="X42" s="15"/>
      <c r="Y42" s="15"/>
      <c r="Z42" s="15"/>
      <c r="AA42" s="15"/>
      <c r="AB42" s="14"/>
      <c r="AC42" s="14"/>
      <c r="AD42" s="11"/>
      <c r="AE42" s="11"/>
      <c r="AF42" s="11"/>
      <c r="AG42" s="15"/>
      <c r="AH42" s="11"/>
      <c r="AI42" s="11"/>
      <c r="AJ42" s="15"/>
      <c r="AK42" s="12"/>
      <c r="AL42" s="15"/>
      <c r="AM42" s="14"/>
      <c r="AN42" s="11"/>
      <c r="AO42" s="11"/>
      <c r="AP42" s="11"/>
      <c r="AQ42" s="15"/>
      <c r="AR42" s="15"/>
      <c r="AS42" s="16"/>
      <c r="AT42" s="11"/>
      <c r="AU42" s="11"/>
      <c r="AV42" s="11"/>
      <c r="AW42" s="11"/>
      <c r="AX42" s="11"/>
      <c r="AY42" s="16"/>
      <c r="AZ42" s="16"/>
      <c r="BA42" s="11"/>
      <c r="BB42" s="11"/>
      <c r="BC42" s="14"/>
      <c r="BD42" s="11"/>
      <c r="BE42" s="14"/>
      <c r="BF42" s="17"/>
      <c r="BG42" s="14"/>
      <c r="BH42" s="11"/>
      <c r="BI42" s="14"/>
      <c r="BJ42" s="22"/>
      <c r="BK42" s="23"/>
    </row>
    <row r="43" spans="1:63" ht="12.75">
      <c r="A43" s="14"/>
      <c r="B43" s="15"/>
      <c r="C43" s="13"/>
      <c r="D43" s="11"/>
      <c r="E43" s="15"/>
      <c r="F43" s="15"/>
      <c r="G43" s="15"/>
      <c r="H43" s="15"/>
      <c r="I43" s="15"/>
      <c r="J43" s="15"/>
      <c r="K43" s="11"/>
      <c r="L43" s="11"/>
      <c r="M43" s="14"/>
      <c r="N43" s="11"/>
      <c r="O43" s="15"/>
      <c r="P43" s="11"/>
      <c r="Q43" s="11"/>
      <c r="R43" s="14"/>
      <c r="S43" s="11"/>
      <c r="T43" s="11"/>
      <c r="U43" s="15"/>
      <c r="V43" s="11"/>
      <c r="W43" s="15"/>
      <c r="X43" s="15"/>
      <c r="Y43" s="15"/>
      <c r="Z43" s="11"/>
      <c r="AA43" s="15"/>
      <c r="AB43" s="11"/>
      <c r="AC43" s="11"/>
      <c r="AD43" s="11"/>
      <c r="AE43" s="11"/>
      <c r="AF43" s="11"/>
      <c r="AG43" s="15"/>
      <c r="AH43" s="11"/>
      <c r="AI43" s="11"/>
      <c r="AJ43" s="11"/>
      <c r="AK43" s="12"/>
      <c r="AL43" s="11"/>
      <c r="AM43" s="11"/>
      <c r="AN43" s="11"/>
      <c r="AO43" s="11"/>
      <c r="AP43" s="14"/>
      <c r="AQ43" s="15"/>
      <c r="AR43" s="15"/>
      <c r="AS43" s="11"/>
      <c r="AT43" s="11"/>
      <c r="AU43" s="16"/>
      <c r="AV43" s="11"/>
      <c r="AW43" s="11"/>
      <c r="AX43" s="11"/>
      <c r="AY43" s="16"/>
      <c r="AZ43" s="11"/>
      <c r="BA43" s="11"/>
      <c r="BB43" s="11"/>
      <c r="BC43" s="16"/>
      <c r="BD43" s="16"/>
      <c r="BE43" s="11"/>
      <c r="BF43" s="24"/>
      <c r="BG43" s="14"/>
      <c r="BH43" s="11"/>
      <c r="BI43" s="11"/>
      <c r="BJ43" s="11"/>
      <c r="BK43" s="27"/>
    </row>
    <row r="44" spans="1:63" ht="12.75">
      <c r="A44" s="11"/>
      <c r="B44" s="15"/>
      <c r="C44" s="13"/>
      <c r="D44" s="11"/>
      <c r="E44" s="11"/>
      <c r="F44" s="1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5"/>
      <c r="AR44" s="15"/>
      <c r="AS44" s="11"/>
      <c r="AT44" s="11"/>
      <c r="AU44" s="16"/>
      <c r="AV44" s="11"/>
      <c r="AW44" s="11"/>
      <c r="AX44" s="11"/>
      <c r="AY44" s="16"/>
      <c r="AZ44" s="11"/>
      <c r="BA44" s="11"/>
      <c r="BB44" s="11"/>
      <c r="BC44" s="11"/>
      <c r="BD44" s="11"/>
      <c r="BE44" s="11"/>
      <c r="BF44" s="17"/>
      <c r="BG44" s="11"/>
      <c r="BH44" s="14"/>
      <c r="BI44" s="19"/>
      <c r="BJ44" s="22"/>
      <c r="BK44" s="23"/>
    </row>
    <row r="45" spans="1:63" ht="12.75">
      <c r="A45" s="11"/>
      <c r="B45" s="15"/>
      <c r="C45" s="15"/>
      <c r="D45" s="11"/>
      <c r="E45" s="12"/>
      <c r="F45" s="15"/>
      <c r="G45" s="15"/>
      <c r="H45" s="15"/>
      <c r="I45" s="15"/>
      <c r="J45" s="15"/>
      <c r="K45" s="11"/>
      <c r="L45" s="14"/>
      <c r="M45" s="15"/>
      <c r="N45" s="12"/>
      <c r="O45" s="15"/>
      <c r="P45" s="11"/>
      <c r="Q45" s="11"/>
      <c r="R45" s="14"/>
      <c r="S45" s="12"/>
      <c r="T45" s="15"/>
      <c r="U45" s="15"/>
      <c r="V45" s="11"/>
      <c r="W45" s="15"/>
      <c r="X45" s="15"/>
      <c r="Y45" s="15"/>
      <c r="Z45" s="15"/>
      <c r="AA45" s="15"/>
      <c r="AB45" s="14"/>
      <c r="AC45" s="11"/>
      <c r="AD45" s="11"/>
      <c r="AE45" s="11"/>
      <c r="AF45" s="11"/>
      <c r="AG45" s="15"/>
      <c r="AH45" s="11"/>
      <c r="AI45" s="15"/>
      <c r="AJ45" s="15"/>
      <c r="AK45" s="14"/>
      <c r="AL45" s="15"/>
      <c r="AM45" s="14"/>
      <c r="AN45" s="11"/>
      <c r="AO45" s="11"/>
      <c r="AP45" s="11"/>
      <c r="AQ45" s="15"/>
      <c r="AR45" s="15"/>
      <c r="AS45" s="16"/>
      <c r="AT45" s="11"/>
      <c r="AU45" s="16"/>
      <c r="AV45" s="11"/>
      <c r="AW45" s="11"/>
      <c r="AX45" s="11"/>
      <c r="AY45" s="16"/>
      <c r="AZ45" s="16"/>
      <c r="BA45" s="11"/>
      <c r="BB45" s="11"/>
      <c r="BC45" s="14"/>
      <c r="BD45" s="11"/>
      <c r="BE45" s="14"/>
      <c r="BF45" s="17"/>
      <c r="BG45" s="14"/>
      <c r="BH45" s="14"/>
      <c r="BI45" s="19"/>
      <c r="BJ45" s="14"/>
      <c r="BK45" s="18"/>
    </row>
    <row r="46" spans="1:63" ht="12.75">
      <c r="A46" s="14"/>
      <c r="B46" s="15"/>
      <c r="C46" s="13"/>
      <c r="D46" s="11"/>
      <c r="E46" s="12"/>
      <c r="F46" s="15"/>
      <c r="G46" s="15"/>
      <c r="H46" s="15"/>
      <c r="I46" s="15"/>
      <c r="J46" s="15"/>
      <c r="K46" s="11"/>
      <c r="L46" s="14"/>
      <c r="M46" s="15"/>
      <c r="N46" s="12"/>
      <c r="O46" s="15"/>
      <c r="P46" s="11"/>
      <c r="Q46" s="11"/>
      <c r="R46" s="14"/>
      <c r="S46" s="12"/>
      <c r="T46" s="15"/>
      <c r="U46" s="15"/>
      <c r="V46" s="11"/>
      <c r="W46" s="15"/>
      <c r="X46" s="15"/>
      <c r="Y46" s="15"/>
      <c r="Z46" s="15"/>
      <c r="AA46" s="15"/>
      <c r="AB46" s="14"/>
      <c r="AC46" s="14"/>
      <c r="AD46" s="11"/>
      <c r="AE46" s="11"/>
      <c r="AF46" s="15"/>
      <c r="AG46" s="15"/>
      <c r="AH46" s="11"/>
      <c r="AI46" s="15"/>
      <c r="AJ46" s="15"/>
      <c r="AK46" s="14"/>
      <c r="AL46" s="15"/>
      <c r="AM46" s="14"/>
      <c r="AN46" s="11"/>
      <c r="AO46" s="11"/>
      <c r="AP46" s="11"/>
      <c r="AQ46" s="15"/>
      <c r="AR46" s="15"/>
      <c r="AS46" s="16"/>
      <c r="AT46" s="11"/>
      <c r="AU46" s="11"/>
      <c r="AV46" s="11"/>
      <c r="AW46" s="11"/>
      <c r="AX46" s="11"/>
      <c r="AY46" s="16"/>
      <c r="AZ46" s="16"/>
      <c r="BA46" s="11"/>
      <c r="BB46" s="11"/>
      <c r="BC46" s="11"/>
      <c r="BD46" s="11"/>
      <c r="BE46" s="14"/>
      <c r="BF46" s="17"/>
      <c r="BG46" s="14"/>
      <c r="BH46" s="14"/>
      <c r="BI46" s="14"/>
      <c r="BJ46" s="14"/>
      <c r="BK46" s="18"/>
    </row>
    <row r="47" spans="1:63" ht="12.75">
      <c r="A47" s="14"/>
      <c r="B47" s="15"/>
      <c r="C47" s="15"/>
      <c r="D47" s="11"/>
      <c r="E47" s="12"/>
      <c r="F47" s="15"/>
      <c r="G47" s="15"/>
      <c r="H47" s="15"/>
      <c r="I47" s="15"/>
      <c r="J47" s="15"/>
      <c r="K47" s="11"/>
      <c r="L47" s="14"/>
      <c r="M47" s="15"/>
      <c r="N47" s="12"/>
      <c r="O47" s="11"/>
      <c r="P47" s="11"/>
      <c r="Q47" s="11"/>
      <c r="R47" s="14"/>
      <c r="S47" s="11"/>
      <c r="T47" s="15"/>
      <c r="U47" s="15"/>
      <c r="V47" s="11"/>
      <c r="W47" s="15"/>
      <c r="X47" s="15"/>
      <c r="Y47" s="15"/>
      <c r="Z47" s="15"/>
      <c r="AA47" s="15"/>
      <c r="AB47" s="14"/>
      <c r="AC47" s="14"/>
      <c r="AD47" s="11"/>
      <c r="AE47" s="11"/>
      <c r="AF47" s="11"/>
      <c r="AG47" s="15"/>
      <c r="AH47" s="11"/>
      <c r="AI47" s="15"/>
      <c r="AJ47" s="15"/>
      <c r="AK47" s="12"/>
      <c r="AL47" s="15"/>
      <c r="AM47" s="15"/>
      <c r="AN47" s="15"/>
      <c r="AO47" s="15"/>
      <c r="AP47" s="15"/>
      <c r="AQ47" s="15"/>
      <c r="AR47" s="15"/>
      <c r="AS47" s="16"/>
      <c r="AT47" s="11"/>
      <c r="AU47" s="11"/>
      <c r="AV47" s="11"/>
      <c r="AW47" s="11"/>
      <c r="AX47" s="11"/>
      <c r="AY47" s="16"/>
      <c r="AZ47" s="16"/>
      <c r="BA47" s="11"/>
      <c r="BB47" s="11"/>
      <c r="BC47" s="14"/>
      <c r="BD47" s="11"/>
      <c r="BE47" s="14"/>
      <c r="BF47" s="24"/>
      <c r="BG47" s="14"/>
      <c r="BH47" s="11"/>
      <c r="BI47" s="14"/>
      <c r="BJ47" s="14"/>
      <c r="BK47" s="18"/>
    </row>
    <row r="48" spans="1:63" ht="12.75">
      <c r="A48" s="11"/>
      <c r="B48" s="15"/>
      <c r="C48" s="15"/>
      <c r="D48" s="11"/>
      <c r="E48" s="12"/>
      <c r="F48" s="15"/>
      <c r="G48" s="15"/>
      <c r="H48" s="15"/>
      <c r="I48" s="15"/>
      <c r="J48" s="15"/>
      <c r="K48" s="11"/>
      <c r="L48" s="14"/>
      <c r="M48" s="15"/>
      <c r="N48" s="12"/>
      <c r="O48" s="15"/>
      <c r="P48" s="11"/>
      <c r="Q48" s="11"/>
      <c r="R48" s="14"/>
      <c r="S48" s="12"/>
      <c r="T48" s="15"/>
      <c r="U48" s="15"/>
      <c r="V48" s="11"/>
      <c r="W48" s="15"/>
      <c r="X48" s="15"/>
      <c r="Y48" s="15"/>
      <c r="Z48" s="15"/>
      <c r="AA48" s="15"/>
      <c r="AB48" s="14"/>
      <c r="AC48" s="14"/>
      <c r="AD48" s="11"/>
      <c r="AE48" s="11"/>
      <c r="AF48" s="11"/>
      <c r="AG48" s="15"/>
      <c r="AH48" s="11"/>
      <c r="AI48" s="15"/>
      <c r="AJ48" s="15"/>
      <c r="AK48" s="14"/>
      <c r="AL48" s="15"/>
      <c r="AM48" s="14"/>
      <c r="AN48" s="11"/>
      <c r="AO48" s="11"/>
      <c r="AP48" s="11"/>
      <c r="AQ48" s="15"/>
      <c r="AR48" s="15"/>
      <c r="AS48" s="16"/>
      <c r="AT48" s="11"/>
      <c r="AU48" s="11"/>
      <c r="AV48" s="11"/>
      <c r="AW48" s="11"/>
      <c r="AX48" s="11"/>
      <c r="AY48" s="16"/>
      <c r="AZ48" s="16"/>
      <c r="BA48" s="11"/>
      <c r="BB48" s="11"/>
      <c r="BC48" s="11"/>
      <c r="BD48" s="11"/>
      <c r="BE48" s="14"/>
      <c r="BF48" s="17"/>
      <c r="BG48" s="14"/>
      <c r="BH48" s="14"/>
      <c r="BI48" s="14"/>
      <c r="BJ48" s="14"/>
      <c r="BK48" s="18"/>
    </row>
    <row r="49" spans="1:63" ht="12.75">
      <c r="A49" s="11"/>
      <c r="B49" s="15"/>
      <c r="C49" s="13"/>
      <c r="D49" s="11"/>
      <c r="E49" s="11"/>
      <c r="F49" s="15"/>
      <c r="G49" s="15"/>
      <c r="H49" s="15"/>
      <c r="I49" s="15"/>
      <c r="J49" s="15"/>
      <c r="K49" s="11"/>
      <c r="L49" s="14"/>
      <c r="M49" s="15"/>
      <c r="N49" s="11"/>
      <c r="O49" s="11"/>
      <c r="P49" s="11"/>
      <c r="Q49" s="11"/>
      <c r="R49" s="14"/>
      <c r="S49" s="12"/>
      <c r="T49" s="15"/>
      <c r="U49" s="15"/>
      <c r="V49" s="11"/>
      <c r="W49" s="15"/>
      <c r="X49" s="15"/>
      <c r="Y49" s="15"/>
      <c r="Z49" s="15"/>
      <c r="AA49" s="15"/>
      <c r="AB49" s="14"/>
      <c r="AC49" s="14"/>
      <c r="AD49" s="11"/>
      <c r="AE49" s="11"/>
      <c r="AF49" s="15"/>
      <c r="AG49" s="15"/>
      <c r="AH49" s="11"/>
      <c r="AI49" s="15"/>
      <c r="AJ49" s="15"/>
      <c r="AK49" s="14"/>
      <c r="AL49" s="15"/>
      <c r="AM49" s="14"/>
      <c r="AN49" s="11"/>
      <c r="AO49" s="11"/>
      <c r="AP49" s="11"/>
      <c r="AQ49" s="15"/>
      <c r="AR49" s="15"/>
      <c r="AS49" s="16"/>
      <c r="AT49" s="11"/>
      <c r="AU49" s="11"/>
      <c r="AV49" s="11"/>
      <c r="AW49" s="11"/>
      <c r="AX49" s="11"/>
      <c r="AY49" s="16"/>
      <c r="AZ49" s="16"/>
      <c r="BA49" s="11"/>
      <c r="BB49" s="11"/>
      <c r="BC49" s="11"/>
      <c r="BD49" s="11"/>
      <c r="BE49" s="14"/>
      <c r="BF49" s="17"/>
      <c r="BG49" s="14"/>
      <c r="BH49" s="14"/>
      <c r="BI49" s="14"/>
      <c r="BJ49" s="14"/>
      <c r="BK49" s="18"/>
    </row>
    <row r="50" spans="1:63" ht="12.75">
      <c r="A50" s="11"/>
      <c r="B50" s="15"/>
      <c r="C50" s="13"/>
      <c r="D50" s="11"/>
      <c r="E50" s="12"/>
      <c r="F50" s="15"/>
      <c r="G50" s="15"/>
      <c r="H50" s="15"/>
      <c r="I50" s="15"/>
      <c r="J50" s="15"/>
      <c r="K50" s="11"/>
      <c r="L50" s="11"/>
      <c r="M50" s="15"/>
      <c r="N50" s="12"/>
      <c r="O50" s="11"/>
      <c r="P50" s="11"/>
      <c r="Q50" s="11"/>
      <c r="R50" s="14"/>
      <c r="S50" s="12"/>
      <c r="T50" s="15"/>
      <c r="U50" s="15"/>
      <c r="V50" s="11"/>
      <c r="W50" s="15"/>
      <c r="X50" s="15"/>
      <c r="Y50" s="15"/>
      <c r="Z50" s="15"/>
      <c r="AA50" s="15"/>
      <c r="AB50" s="14"/>
      <c r="AC50" s="11"/>
      <c r="AD50" s="11"/>
      <c r="AE50" s="11"/>
      <c r="AF50" s="15"/>
      <c r="AG50" s="15"/>
      <c r="AH50" s="11"/>
      <c r="AI50" s="11"/>
      <c r="AJ50" s="15"/>
      <c r="AK50" s="12"/>
      <c r="AL50" s="15"/>
      <c r="AM50" s="14"/>
      <c r="AN50" s="11"/>
      <c r="AO50" s="11"/>
      <c r="AP50" s="14"/>
      <c r="AQ50" s="15"/>
      <c r="AR50" s="15"/>
      <c r="AS50" s="16"/>
      <c r="AT50" s="11"/>
      <c r="AU50" s="11"/>
      <c r="AV50" s="11"/>
      <c r="AW50" s="11"/>
      <c r="AX50" s="11"/>
      <c r="AY50" s="16"/>
      <c r="AZ50" s="16"/>
      <c r="BA50" s="11"/>
      <c r="BB50" s="11"/>
      <c r="BC50" s="11"/>
      <c r="BD50" s="11"/>
      <c r="BE50" s="14"/>
      <c r="BF50" s="17"/>
      <c r="BG50" s="14"/>
      <c r="BH50" s="14"/>
      <c r="BI50" s="14"/>
      <c r="BJ50" s="22"/>
      <c r="BK50" s="23"/>
    </row>
    <row r="51" spans="1:63" ht="12.75">
      <c r="A51" s="14"/>
      <c r="B51" s="15"/>
      <c r="C51" s="13"/>
      <c r="D51" s="11"/>
      <c r="E51" s="12"/>
      <c r="F51" s="15"/>
      <c r="G51" s="15"/>
      <c r="H51" s="15"/>
      <c r="I51" s="15"/>
      <c r="J51" s="15"/>
      <c r="K51" s="11"/>
      <c r="L51" s="14"/>
      <c r="M51" s="15"/>
      <c r="N51" s="15"/>
      <c r="O51" s="11"/>
      <c r="P51" s="11"/>
      <c r="Q51" s="11"/>
      <c r="R51" s="14"/>
      <c r="S51" s="11"/>
      <c r="T51" s="15"/>
      <c r="U51" s="15"/>
      <c r="V51" s="11"/>
      <c r="W51" s="15"/>
      <c r="X51" s="15"/>
      <c r="Y51" s="11"/>
      <c r="Z51" s="15"/>
      <c r="AA51" s="15"/>
      <c r="AB51" s="14"/>
      <c r="AC51" s="14"/>
      <c r="AD51" s="11"/>
      <c r="AE51" s="15"/>
      <c r="AF51" s="15"/>
      <c r="AG51" s="15"/>
      <c r="AH51" s="15"/>
      <c r="AI51" s="11"/>
      <c r="AJ51" s="15"/>
      <c r="AK51" s="12"/>
      <c r="AL51" s="15"/>
      <c r="AM51" s="15"/>
      <c r="AN51" s="15"/>
      <c r="AO51" s="15"/>
      <c r="AP51" s="15"/>
      <c r="AQ51" s="15"/>
      <c r="AR51" s="15"/>
      <c r="AS51" s="11"/>
      <c r="AT51" s="11"/>
      <c r="AU51" s="11"/>
      <c r="AV51" s="11"/>
      <c r="AW51" s="11"/>
      <c r="AX51" s="11"/>
      <c r="AY51" s="16"/>
      <c r="AZ51" s="16"/>
      <c r="BA51" s="11"/>
      <c r="BB51" s="11"/>
      <c r="BC51" s="16"/>
      <c r="BD51" s="16"/>
      <c r="BE51" s="11"/>
      <c r="BF51" s="17"/>
      <c r="BG51" s="14"/>
      <c r="BH51" s="14"/>
      <c r="BI51" s="14"/>
      <c r="BJ51" s="14"/>
      <c r="BK51" s="18"/>
    </row>
    <row r="52" spans="1:63" ht="12.75">
      <c r="A52" s="11"/>
      <c r="B52" s="15"/>
      <c r="C52" s="15"/>
      <c r="D52" s="11"/>
      <c r="E52" s="12"/>
      <c r="F52" s="15"/>
      <c r="G52" s="15"/>
      <c r="H52" s="15"/>
      <c r="I52" s="15"/>
      <c r="J52" s="15"/>
      <c r="K52" s="11"/>
      <c r="L52" s="14"/>
      <c r="M52" s="15"/>
      <c r="N52" s="12"/>
      <c r="O52" s="15"/>
      <c r="P52" s="11"/>
      <c r="Q52" s="11"/>
      <c r="R52" s="14"/>
      <c r="S52" s="12"/>
      <c r="T52" s="15"/>
      <c r="U52" s="15"/>
      <c r="V52" s="11"/>
      <c r="W52" s="15"/>
      <c r="X52" s="15"/>
      <c r="Y52" s="15"/>
      <c r="Z52" s="15"/>
      <c r="AA52" s="15"/>
      <c r="AB52" s="14"/>
      <c r="AC52" s="14"/>
      <c r="AD52" s="11"/>
      <c r="AE52" s="11"/>
      <c r="AF52" s="15"/>
      <c r="AG52" s="15"/>
      <c r="AH52" s="11"/>
      <c r="AI52" s="15"/>
      <c r="AJ52" s="15"/>
      <c r="AK52" s="12"/>
      <c r="AL52" s="15"/>
      <c r="AM52" s="14"/>
      <c r="AN52" s="11"/>
      <c r="AO52" s="11"/>
      <c r="AP52" s="11"/>
      <c r="AQ52" s="15"/>
      <c r="AR52" s="15"/>
      <c r="AS52" s="16"/>
      <c r="AT52" s="11"/>
      <c r="AU52" s="11"/>
      <c r="AV52" s="11"/>
      <c r="AW52" s="11"/>
      <c r="AX52" s="11"/>
      <c r="AY52" s="16"/>
      <c r="AZ52" s="16"/>
      <c r="BA52" s="11"/>
      <c r="BB52" s="11"/>
      <c r="BC52" s="11"/>
      <c r="BD52" s="11"/>
      <c r="BE52" s="14"/>
      <c r="BF52" s="17"/>
      <c r="BG52" s="14"/>
      <c r="BH52" s="14"/>
      <c r="BI52" s="14"/>
      <c r="BJ52" s="14"/>
      <c r="BK52" s="18"/>
    </row>
    <row r="53" spans="1:63" ht="12.75">
      <c r="A53" s="11"/>
      <c r="B53" s="15"/>
      <c r="C53" s="13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5"/>
      <c r="P53" s="11"/>
      <c r="Q53" s="11"/>
      <c r="R53" s="14"/>
      <c r="S53" s="11"/>
      <c r="T53" s="11"/>
      <c r="U53" s="11"/>
      <c r="V53" s="11"/>
      <c r="W53" s="11"/>
      <c r="X53" s="11"/>
      <c r="Y53" s="11"/>
      <c r="Z53" s="11"/>
      <c r="AA53" s="15"/>
      <c r="AB53" s="14"/>
      <c r="AC53" s="14"/>
      <c r="AD53" s="11"/>
      <c r="AE53" s="11"/>
      <c r="AF53" s="15"/>
      <c r="AG53" s="15"/>
      <c r="AH53" s="11"/>
      <c r="AI53" s="15"/>
      <c r="AJ53" s="15"/>
      <c r="AK53" s="14"/>
      <c r="AL53" s="15"/>
      <c r="AM53" s="14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6"/>
      <c r="AZ53" s="16"/>
      <c r="BA53" s="11"/>
      <c r="BB53" s="11"/>
      <c r="BC53" s="11"/>
      <c r="BD53" s="11"/>
      <c r="BE53" s="14"/>
      <c r="BF53" s="17"/>
      <c r="BG53" s="14"/>
      <c r="BH53" s="14"/>
      <c r="BI53" s="14"/>
      <c r="BJ53" s="14"/>
      <c r="BK53" s="18"/>
    </row>
    <row r="54" spans="1:63" ht="12.75">
      <c r="A54" s="11"/>
      <c r="B54" s="15"/>
      <c r="C54" s="13"/>
      <c r="D54" s="11"/>
      <c r="E54" s="12"/>
      <c r="F54" s="15"/>
      <c r="G54" s="15"/>
      <c r="H54" s="15"/>
      <c r="I54" s="15"/>
      <c r="J54" s="15"/>
      <c r="K54" s="11"/>
      <c r="L54" s="14"/>
      <c r="M54" s="15"/>
      <c r="N54" s="12"/>
      <c r="O54" s="11"/>
      <c r="P54" s="11"/>
      <c r="Q54" s="11"/>
      <c r="R54" s="14"/>
      <c r="S54" s="12"/>
      <c r="T54" s="15"/>
      <c r="U54" s="15"/>
      <c r="V54" s="11"/>
      <c r="W54" s="15"/>
      <c r="X54" s="15"/>
      <c r="Y54" s="15"/>
      <c r="Z54" s="15"/>
      <c r="AA54" s="15"/>
      <c r="AB54" s="14"/>
      <c r="AC54" s="14"/>
      <c r="AD54" s="11"/>
      <c r="AE54" s="11"/>
      <c r="AF54" s="15"/>
      <c r="AG54" s="15"/>
      <c r="AH54" s="11"/>
      <c r="AI54" s="11"/>
      <c r="AJ54" s="15"/>
      <c r="AK54" s="14"/>
      <c r="AL54" s="15"/>
      <c r="AM54" s="14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6"/>
      <c r="AZ54" s="16"/>
      <c r="BA54" s="11"/>
      <c r="BB54" s="11"/>
      <c r="BC54" s="11"/>
      <c r="BD54" s="11"/>
      <c r="BE54" s="14"/>
      <c r="BF54" s="17"/>
      <c r="BG54" s="14"/>
      <c r="BH54" s="14"/>
      <c r="BI54" s="14"/>
      <c r="BJ54" s="14"/>
      <c r="BK54" s="18"/>
    </row>
    <row r="55" spans="1:63" ht="12.75">
      <c r="A55" s="11"/>
      <c r="B55" s="15"/>
      <c r="C55" s="13"/>
      <c r="D55" s="11"/>
      <c r="E55" s="11"/>
      <c r="F55" s="11"/>
      <c r="G55" s="11"/>
      <c r="H55" s="15"/>
      <c r="I55" s="15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24"/>
      <c r="BG55" s="11"/>
      <c r="BH55" s="11"/>
      <c r="BI55" s="11"/>
      <c r="BJ55" s="11"/>
    </row>
    <row r="56" spans="1:63" ht="12.75">
      <c r="A56" s="11"/>
      <c r="B56" s="15"/>
      <c r="C56" s="13"/>
      <c r="D56" s="11"/>
      <c r="E56" s="12"/>
      <c r="F56" s="15"/>
      <c r="G56" s="15"/>
      <c r="H56" s="15"/>
      <c r="I56" s="15"/>
      <c r="J56" s="15"/>
      <c r="K56" s="11"/>
      <c r="L56" s="14"/>
      <c r="M56" s="15"/>
      <c r="N56" s="11"/>
      <c r="O56" s="15"/>
      <c r="P56" s="11"/>
      <c r="Q56" s="11"/>
      <c r="R56" s="14"/>
      <c r="S56" s="12"/>
      <c r="T56" s="15"/>
      <c r="U56" s="15"/>
      <c r="V56" s="11"/>
      <c r="W56" s="15"/>
      <c r="X56" s="15"/>
      <c r="Y56" s="15"/>
      <c r="Z56" s="15"/>
      <c r="AA56" s="15"/>
      <c r="AB56" s="14"/>
      <c r="AC56" s="14"/>
      <c r="AD56" s="11"/>
      <c r="AE56" s="11"/>
      <c r="AF56" s="11"/>
      <c r="AG56" s="15"/>
      <c r="AH56" s="11"/>
      <c r="AI56" s="15"/>
      <c r="AJ56" s="15"/>
      <c r="AK56" s="14"/>
      <c r="AL56" s="15"/>
      <c r="AM56" s="14"/>
      <c r="AN56" s="11"/>
      <c r="AO56" s="11"/>
      <c r="AP56" s="11"/>
      <c r="AQ56" s="15"/>
      <c r="AR56" s="15"/>
      <c r="AS56" s="16"/>
      <c r="AT56" s="11"/>
      <c r="AU56" s="11"/>
      <c r="AV56" s="11"/>
      <c r="AW56" s="11"/>
      <c r="AX56" s="11"/>
      <c r="AY56" s="16"/>
      <c r="AZ56" s="16"/>
      <c r="BA56" s="11"/>
      <c r="BB56" s="11"/>
      <c r="BC56" s="11"/>
      <c r="BD56" s="11"/>
      <c r="BE56" s="14"/>
      <c r="BF56" s="17"/>
      <c r="BG56" s="14"/>
      <c r="BH56" s="14"/>
      <c r="BI56" s="14"/>
      <c r="BJ56" s="14"/>
      <c r="BK56" s="18"/>
    </row>
    <row r="57" spans="1:63" ht="12.75">
      <c r="A57" s="11"/>
      <c r="B57" s="15"/>
      <c r="C57" s="13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2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24"/>
      <c r="BG57" s="11"/>
      <c r="BH57" s="11"/>
      <c r="BI57" s="11"/>
      <c r="BJ57" s="11"/>
    </row>
    <row r="58" spans="1:63" ht="12.75">
      <c r="A58" s="14"/>
      <c r="B58" s="15"/>
      <c r="C58" s="13"/>
      <c r="D58" s="11"/>
      <c r="E58" s="15"/>
      <c r="F58" s="15"/>
      <c r="G58" s="15"/>
      <c r="H58" s="15"/>
      <c r="I58" s="15"/>
      <c r="J58" s="15"/>
      <c r="K58" s="11"/>
      <c r="L58" s="14"/>
      <c r="M58" s="15"/>
      <c r="N58" s="12"/>
      <c r="O58" s="15"/>
      <c r="P58" s="11"/>
      <c r="Q58" s="11"/>
      <c r="R58" s="14"/>
      <c r="S58" s="12"/>
      <c r="T58" s="15"/>
      <c r="U58" s="15"/>
      <c r="V58" s="11"/>
      <c r="W58" s="15"/>
      <c r="X58" s="15"/>
      <c r="Y58" s="15"/>
      <c r="Z58" s="15"/>
      <c r="AA58" s="15"/>
      <c r="AB58" s="14"/>
      <c r="AC58" s="14"/>
      <c r="AD58" s="11"/>
      <c r="AE58" s="11"/>
      <c r="AF58" s="11"/>
      <c r="AG58" s="15"/>
      <c r="AH58" s="11"/>
      <c r="AI58" s="15"/>
      <c r="AJ58" s="15"/>
      <c r="AK58" s="14"/>
      <c r="AL58" s="15"/>
      <c r="AM58" s="14"/>
      <c r="AN58" s="11"/>
      <c r="AO58" s="11"/>
      <c r="AP58" s="11"/>
      <c r="AQ58" s="15"/>
      <c r="AR58" s="15"/>
      <c r="AS58" s="16"/>
      <c r="AT58" s="11"/>
      <c r="AU58" s="11"/>
      <c r="AV58" s="11"/>
      <c r="AW58" s="11"/>
      <c r="AX58" s="11"/>
      <c r="AY58" s="16"/>
      <c r="AZ58" s="16"/>
      <c r="BA58" s="11"/>
      <c r="BB58" s="11"/>
      <c r="BC58" s="11"/>
      <c r="BD58" s="11"/>
      <c r="BE58" s="14"/>
      <c r="BF58" s="17"/>
      <c r="BG58" s="14"/>
      <c r="BH58" s="14"/>
      <c r="BI58" s="14"/>
      <c r="BJ58" s="14"/>
      <c r="BK58" s="18"/>
    </row>
    <row r="59" spans="1:63" ht="12.75">
      <c r="A59" s="14"/>
      <c r="B59" s="15"/>
      <c r="C59" s="15"/>
      <c r="D59" s="11"/>
      <c r="E59" s="12"/>
      <c r="F59" s="15"/>
      <c r="G59" s="15"/>
      <c r="H59" s="15"/>
      <c r="I59" s="15"/>
      <c r="J59" s="15"/>
      <c r="K59" s="11"/>
      <c r="L59" s="14"/>
      <c r="M59" s="15"/>
      <c r="N59" s="12"/>
      <c r="O59" s="11"/>
      <c r="P59" s="11"/>
      <c r="Q59" s="11"/>
      <c r="R59" s="14"/>
      <c r="S59" s="12"/>
      <c r="T59" s="15"/>
      <c r="U59" s="15"/>
      <c r="V59" s="11"/>
      <c r="W59" s="15"/>
      <c r="X59" s="15"/>
      <c r="Y59" s="15"/>
      <c r="Z59" s="15"/>
      <c r="AA59" s="15"/>
      <c r="AB59" s="14"/>
      <c r="AC59" s="14"/>
      <c r="AD59" s="11"/>
      <c r="AE59" s="11"/>
      <c r="AF59" s="15"/>
      <c r="AG59" s="15"/>
      <c r="AH59" s="11"/>
      <c r="AI59" s="11"/>
      <c r="AJ59" s="15"/>
      <c r="AK59" s="14"/>
      <c r="AL59" s="15"/>
      <c r="AM59" s="14"/>
      <c r="AN59" s="11"/>
      <c r="AO59" s="11"/>
      <c r="AP59" s="11"/>
      <c r="AQ59" s="15"/>
      <c r="AR59" s="15"/>
      <c r="AS59" s="16"/>
      <c r="AT59" s="16"/>
      <c r="AU59" s="11"/>
      <c r="AV59" s="11"/>
      <c r="AW59" s="11"/>
      <c r="AX59" s="11"/>
      <c r="AY59" s="16"/>
      <c r="AZ59" s="16"/>
      <c r="BA59" s="11"/>
      <c r="BB59" s="11"/>
      <c r="BC59" s="11"/>
      <c r="BD59" s="11"/>
      <c r="BE59" s="14"/>
      <c r="BF59" s="17"/>
      <c r="BG59" s="14"/>
      <c r="BH59" s="14"/>
      <c r="BI59" s="14"/>
      <c r="BJ59" s="14"/>
      <c r="BK59" s="18"/>
    </row>
    <row r="60" spans="1:63" ht="12.75">
      <c r="A60" s="11"/>
      <c r="B60" s="15"/>
      <c r="C60" s="13"/>
      <c r="D60" s="11"/>
      <c r="E60" s="15"/>
      <c r="F60" s="15"/>
      <c r="G60" s="15"/>
      <c r="H60" s="15"/>
      <c r="I60" s="15"/>
      <c r="J60" s="15"/>
      <c r="K60" s="11"/>
      <c r="L60" s="14"/>
      <c r="M60" s="15"/>
      <c r="N60" s="12"/>
      <c r="O60" s="15"/>
      <c r="P60" s="11"/>
      <c r="Q60" s="11"/>
      <c r="R60" s="14"/>
      <c r="S60" s="11"/>
      <c r="T60" s="11"/>
      <c r="U60" s="15"/>
      <c r="V60" s="11"/>
      <c r="W60" s="15"/>
      <c r="X60" s="15"/>
      <c r="Y60" s="15"/>
      <c r="Z60" s="15"/>
      <c r="AA60" s="15"/>
      <c r="AB60" s="14"/>
      <c r="AC60" s="14"/>
      <c r="AD60" s="11"/>
      <c r="AE60" s="11"/>
      <c r="AF60" s="15"/>
      <c r="AG60" s="15"/>
      <c r="AH60" s="11"/>
      <c r="AI60" s="11"/>
      <c r="AJ60" s="15"/>
      <c r="AK60" s="14"/>
      <c r="AL60" s="15"/>
      <c r="AM60" s="14"/>
      <c r="AN60" s="11"/>
      <c r="AO60" s="11"/>
      <c r="AP60" s="14"/>
      <c r="AQ60" s="15"/>
      <c r="AR60" s="15"/>
      <c r="AS60" s="16"/>
      <c r="AT60" s="11"/>
      <c r="AU60" s="11"/>
      <c r="AV60" s="11"/>
      <c r="AW60" s="11"/>
      <c r="AX60" s="11"/>
      <c r="AY60" s="16"/>
      <c r="AZ60" s="16"/>
      <c r="BA60" s="11"/>
      <c r="BB60" s="11"/>
      <c r="BC60" s="14"/>
      <c r="BD60" s="11"/>
      <c r="BE60" s="14"/>
      <c r="BF60" s="17"/>
      <c r="BG60" s="14"/>
      <c r="BH60" s="14"/>
      <c r="BI60" s="14"/>
      <c r="BJ60" s="22"/>
      <c r="BK60" s="23"/>
    </row>
    <row r="61" spans="1:63" ht="12.75">
      <c r="A61" s="14"/>
      <c r="B61" s="15"/>
      <c r="C61" s="15"/>
      <c r="D61" s="11"/>
      <c r="E61" s="12"/>
      <c r="F61" s="15"/>
      <c r="G61" s="15"/>
      <c r="H61" s="15"/>
      <c r="I61" s="15"/>
      <c r="J61" s="15"/>
      <c r="K61" s="11"/>
      <c r="L61" s="14"/>
      <c r="M61" s="15"/>
      <c r="N61" s="12"/>
      <c r="O61" s="15"/>
      <c r="P61" s="11"/>
      <c r="Q61" s="11"/>
      <c r="R61" s="14"/>
      <c r="S61" s="11"/>
      <c r="T61" s="15"/>
      <c r="U61" s="15"/>
      <c r="V61" s="11"/>
      <c r="W61" s="15"/>
      <c r="X61" s="15"/>
      <c r="Y61" s="15"/>
      <c r="Z61" s="15"/>
      <c r="AA61" s="15"/>
      <c r="AB61" s="14"/>
      <c r="AC61" s="14"/>
      <c r="AD61" s="11"/>
      <c r="AE61" s="11"/>
      <c r="AF61" s="15"/>
      <c r="AG61" s="15"/>
      <c r="AH61" s="11"/>
      <c r="AI61" s="15"/>
      <c r="AJ61" s="15"/>
      <c r="AK61" s="14"/>
      <c r="AL61" s="15"/>
      <c r="AM61" s="14"/>
      <c r="AN61" s="11"/>
      <c r="AO61" s="11"/>
      <c r="AP61" s="11"/>
      <c r="AQ61" s="15"/>
      <c r="AR61" s="15"/>
      <c r="AS61" s="16"/>
      <c r="AT61" s="11"/>
      <c r="AU61" s="11"/>
      <c r="AV61" s="11"/>
      <c r="AW61" s="11"/>
      <c r="AX61" s="11"/>
      <c r="AY61" s="16"/>
      <c r="AZ61" s="16"/>
      <c r="BA61" s="11"/>
      <c r="BB61" s="11"/>
      <c r="BC61" s="11"/>
      <c r="BD61" s="11"/>
      <c r="BE61" s="14"/>
      <c r="BF61" s="17"/>
      <c r="BG61" s="14"/>
      <c r="BH61" s="14"/>
      <c r="BI61" s="14"/>
      <c r="BJ61" s="14"/>
      <c r="BK61" s="18"/>
    </row>
    <row r="62" spans="1:63" ht="12.75">
      <c r="A62" s="14"/>
      <c r="B62" s="15"/>
      <c r="C62" s="15"/>
      <c r="D62" s="11"/>
      <c r="E62" s="12"/>
      <c r="F62" s="15"/>
      <c r="G62" s="15"/>
      <c r="H62" s="15"/>
      <c r="I62" s="15"/>
      <c r="J62" s="15"/>
      <c r="K62" s="11"/>
      <c r="L62" s="14"/>
      <c r="M62" s="15"/>
      <c r="N62" s="12"/>
      <c r="O62" s="11"/>
      <c r="P62" s="11"/>
      <c r="Q62" s="11"/>
      <c r="R62" s="14"/>
      <c r="S62" s="12"/>
      <c r="T62" s="15"/>
      <c r="U62" s="15"/>
      <c r="V62" s="11"/>
      <c r="W62" s="15"/>
      <c r="X62" s="15"/>
      <c r="Y62" s="15"/>
      <c r="Z62" s="15"/>
      <c r="AA62" s="11"/>
      <c r="AB62" s="14"/>
      <c r="AC62" s="14"/>
      <c r="AD62" s="11"/>
      <c r="AE62" s="11"/>
      <c r="AF62" s="15"/>
      <c r="AG62" s="15"/>
      <c r="AH62" s="11"/>
      <c r="AI62" s="11"/>
      <c r="AJ62" s="15"/>
      <c r="AK62" s="14"/>
      <c r="AL62" s="15"/>
      <c r="AM62" s="14"/>
      <c r="AN62" s="11"/>
      <c r="AO62" s="11"/>
      <c r="AP62" s="11"/>
      <c r="AQ62" s="15"/>
      <c r="AR62" s="15"/>
      <c r="AS62" s="16"/>
      <c r="AT62" s="11"/>
      <c r="AU62" s="16"/>
      <c r="AV62" s="16"/>
      <c r="AW62" s="16"/>
      <c r="AX62" s="16"/>
      <c r="AY62" s="16"/>
      <c r="AZ62" s="16"/>
      <c r="BA62" s="11"/>
      <c r="BB62" s="11"/>
      <c r="BC62" s="11"/>
      <c r="BD62" s="11"/>
      <c r="BE62" s="14"/>
      <c r="BF62" s="17"/>
      <c r="BG62" s="14"/>
      <c r="BH62" s="14"/>
      <c r="BI62" s="14"/>
      <c r="BJ62" s="14"/>
      <c r="BK62" s="18"/>
    </row>
    <row r="63" spans="1:63" ht="12.75">
      <c r="A63" s="14"/>
      <c r="B63" s="15"/>
      <c r="C63" s="15"/>
      <c r="D63" s="11"/>
      <c r="E63" s="12"/>
      <c r="F63" s="15"/>
      <c r="G63" s="15"/>
      <c r="H63" s="15"/>
      <c r="I63" s="15"/>
      <c r="J63" s="15"/>
      <c r="K63" s="11"/>
      <c r="L63" s="14"/>
      <c r="M63" s="15"/>
      <c r="N63" s="12"/>
      <c r="O63" s="15"/>
      <c r="P63" s="11"/>
      <c r="Q63" s="11"/>
      <c r="R63" s="14"/>
      <c r="S63" s="12"/>
      <c r="T63" s="15"/>
      <c r="U63" s="15"/>
      <c r="V63" s="11"/>
      <c r="W63" s="15"/>
      <c r="X63" s="15"/>
      <c r="Y63" s="15"/>
      <c r="Z63" s="15"/>
      <c r="AA63" s="15"/>
      <c r="AB63" s="14"/>
      <c r="AC63" s="14"/>
      <c r="AD63" s="11"/>
      <c r="AE63" s="11"/>
      <c r="AF63" s="15"/>
      <c r="AG63" s="15"/>
      <c r="AH63" s="11"/>
      <c r="AI63" s="15"/>
      <c r="AJ63" s="15"/>
      <c r="AK63" s="12"/>
      <c r="AL63" s="15"/>
      <c r="AM63" s="14"/>
      <c r="AN63" s="11"/>
      <c r="AO63" s="11"/>
      <c r="AP63" s="11"/>
      <c r="AQ63" s="15"/>
      <c r="AR63" s="15"/>
      <c r="AS63" s="16"/>
      <c r="AT63" s="11"/>
      <c r="AU63" s="11"/>
      <c r="AV63" s="11"/>
      <c r="AW63" s="11"/>
      <c r="AX63" s="11"/>
      <c r="AY63" s="16"/>
      <c r="AZ63" s="16"/>
      <c r="BA63" s="11"/>
      <c r="BB63" s="11"/>
      <c r="BC63" s="11"/>
      <c r="BD63" s="11"/>
      <c r="BE63" s="14"/>
      <c r="BF63" s="17"/>
      <c r="BG63" s="14"/>
      <c r="BH63" s="14"/>
      <c r="BI63" s="14"/>
      <c r="BJ63" s="14"/>
      <c r="BK63" s="18"/>
    </row>
    <row r="64" spans="1:63" ht="12.75">
      <c r="A64" s="11"/>
      <c r="B64" s="15"/>
      <c r="C64" s="15"/>
      <c r="D64" s="11"/>
      <c r="E64" s="12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28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24"/>
      <c r="BG64" s="11"/>
      <c r="BH64" s="11"/>
      <c r="BI64" s="11"/>
      <c r="BJ64" s="11"/>
    </row>
    <row r="65" spans="1:63" ht="12.75">
      <c r="A65" s="11"/>
      <c r="B65" s="15"/>
      <c r="C65" s="13"/>
      <c r="D65" s="11"/>
      <c r="E65" s="11"/>
      <c r="F65" s="15"/>
      <c r="G65" s="15"/>
      <c r="H65" s="15"/>
      <c r="I65" s="15"/>
      <c r="J65" s="15"/>
      <c r="K65" s="11"/>
      <c r="L65" s="14"/>
      <c r="M65" s="15"/>
      <c r="N65" s="11"/>
      <c r="O65" s="11"/>
      <c r="P65" s="11"/>
      <c r="Q65" s="11"/>
      <c r="R65" s="14"/>
      <c r="S65" s="11"/>
      <c r="T65" s="15"/>
      <c r="U65" s="15"/>
      <c r="V65" s="11"/>
      <c r="W65" s="15"/>
      <c r="X65" s="15"/>
      <c r="Y65" s="11"/>
      <c r="Z65" s="15"/>
      <c r="AA65" s="15"/>
      <c r="AB65" s="11"/>
      <c r="AC65" s="14"/>
      <c r="AD65" s="11"/>
      <c r="AE65" s="11"/>
      <c r="AF65" s="11"/>
      <c r="AG65" s="15"/>
      <c r="AH65" s="11"/>
      <c r="AI65" s="15"/>
      <c r="AJ65" s="15"/>
      <c r="AK65" s="14"/>
      <c r="AL65" s="15"/>
      <c r="AM65" s="11"/>
      <c r="AN65" s="11"/>
      <c r="AO65" s="11"/>
      <c r="AP65" s="11"/>
      <c r="AQ65" s="15"/>
      <c r="AR65" s="15"/>
      <c r="AS65" s="11"/>
      <c r="AT65" s="11"/>
      <c r="AU65" s="11"/>
      <c r="AV65" s="11"/>
      <c r="AW65" s="11"/>
      <c r="AX65" s="11"/>
      <c r="AY65" s="16"/>
      <c r="AZ65" s="16"/>
      <c r="BA65" s="11"/>
      <c r="BB65" s="11"/>
      <c r="BC65" s="11"/>
      <c r="BD65" s="11"/>
      <c r="BE65" s="14"/>
      <c r="BF65" s="17"/>
      <c r="BG65" s="14"/>
      <c r="BH65" s="14"/>
      <c r="BI65" s="14"/>
      <c r="BJ65" s="14"/>
      <c r="BK65" s="18"/>
    </row>
    <row r="66" spans="1:63" ht="12.75">
      <c r="A66" s="11"/>
      <c r="B66" s="15"/>
      <c r="C66" s="15"/>
      <c r="D66" s="11"/>
      <c r="E66" s="12"/>
      <c r="F66" s="15"/>
      <c r="G66" s="15"/>
      <c r="H66" s="15"/>
      <c r="I66" s="15"/>
      <c r="J66" s="15"/>
      <c r="K66" s="11"/>
      <c r="L66" s="14"/>
      <c r="M66" s="15"/>
      <c r="N66" s="12"/>
      <c r="O66" s="15"/>
      <c r="P66" s="11"/>
      <c r="Q66" s="11"/>
      <c r="R66" s="14"/>
      <c r="S66" s="12"/>
      <c r="T66" s="15"/>
      <c r="U66" s="15"/>
      <c r="V66" s="11"/>
      <c r="W66" s="15"/>
      <c r="X66" s="15"/>
      <c r="Y66" s="15"/>
      <c r="Z66" s="15"/>
      <c r="AA66" s="15"/>
      <c r="AB66" s="14"/>
      <c r="AC66" s="14"/>
      <c r="AD66" s="11"/>
      <c r="AE66" s="11"/>
      <c r="AF66" s="15"/>
      <c r="AG66" s="15"/>
      <c r="AH66" s="11"/>
      <c r="AI66" s="15"/>
      <c r="AJ66" s="15"/>
      <c r="AK66" s="14"/>
      <c r="AL66" s="15"/>
      <c r="AM66" s="14"/>
      <c r="AN66" s="11"/>
      <c r="AO66" s="11"/>
      <c r="AP66" s="11"/>
      <c r="AQ66" s="15"/>
      <c r="AR66" s="15"/>
      <c r="AS66" s="16"/>
      <c r="AT66" s="11"/>
      <c r="AU66" s="11"/>
      <c r="AV66" s="11"/>
      <c r="AW66" s="11"/>
      <c r="AX66" s="11"/>
      <c r="AY66" s="16"/>
      <c r="AZ66" s="16"/>
      <c r="BA66" s="11"/>
      <c r="BB66" s="11"/>
      <c r="BC66" s="14"/>
      <c r="BD66" s="11"/>
      <c r="BE66" s="14"/>
      <c r="BF66" s="17"/>
      <c r="BG66" s="14"/>
      <c r="BH66" s="14"/>
      <c r="BI66" s="14"/>
      <c r="BJ66" s="14"/>
      <c r="BK66" s="18"/>
    </row>
    <row r="67" spans="1:63" ht="12.75">
      <c r="A67" s="14"/>
      <c r="B67" s="15"/>
      <c r="C67" s="15"/>
      <c r="D67" s="11"/>
      <c r="E67" s="12"/>
      <c r="F67" s="15"/>
      <c r="G67" s="15"/>
      <c r="H67" s="15"/>
      <c r="I67" s="15"/>
      <c r="J67" s="15"/>
      <c r="K67" s="11"/>
      <c r="L67" s="14"/>
      <c r="M67" s="15"/>
      <c r="N67" s="12"/>
      <c r="O67" s="15"/>
      <c r="P67" s="11"/>
      <c r="Q67" s="11"/>
      <c r="R67" s="14"/>
      <c r="S67" s="12"/>
      <c r="T67" s="15"/>
      <c r="U67" s="15"/>
      <c r="V67" s="11"/>
      <c r="W67" s="15"/>
      <c r="X67" s="15"/>
      <c r="Y67" s="15"/>
      <c r="Z67" s="15"/>
      <c r="AA67" s="15"/>
      <c r="AB67" s="14"/>
      <c r="AC67" s="14"/>
      <c r="AD67" s="11"/>
      <c r="AE67" s="11"/>
      <c r="AF67" s="11"/>
      <c r="AG67" s="15"/>
      <c r="AH67" s="11"/>
      <c r="AI67" s="11"/>
      <c r="AJ67" s="15"/>
      <c r="AK67" s="14"/>
      <c r="AL67" s="15"/>
      <c r="AM67" s="14"/>
      <c r="AN67" s="11"/>
      <c r="AO67" s="11"/>
      <c r="AP67" s="11"/>
      <c r="AQ67" s="15"/>
      <c r="AR67" s="15"/>
      <c r="AS67" s="16"/>
      <c r="AT67" s="11"/>
      <c r="AU67" s="11"/>
      <c r="AV67" s="11"/>
      <c r="AW67" s="11"/>
      <c r="AX67" s="11"/>
      <c r="AY67" s="16"/>
      <c r="AZ67" s="16"/>
      <c r="BA67" s="11"/>
      <c r="BB67" s="11"/>
      <c r="BC67" s="14"/>
      <c r="BD67" s="11"/>
      <c r="BE67" s="14"/>
      <c r="BF67" s="17"/>
      <c r="BG67" s="14"/>
      <c r="BH67" s="14"/>
      <c r="BI67" s="19"/>
      <c r="BJ67" s="14"/>
      <c r="BK67" s="18"/>
    </row>
    <row r="68" spans="1:63" ht="12.75">
      <c r="A68" s="11"/>
      <c r="B68" s="15"/>
      <c r="C68" s="13"/>
      <c r="D68" s="11"/>
      <c r="E68" s="11"/>
      <c r="F68" s="11"/>
      <c r="G68" s="11"/>
      <c r="H68" s="15"/>
      <c r="I68" s="15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24"/>
      <c r="BG68" s="11"/>
      <c r="BH68" s="11"/>
      <c r="BI68" s="11"/>
      <c r="BJ68" s="11"/>
    </row>
    <row r="69" spans="1:63" ht="12.75">
      <c r="A69" s="14"/>
      <c r="B69" s="15"/>
      <c r="C69" s="15"/>
      <c r="D69" s="11"/>
      <c r="E69" s="15"/>
      <c r="F69" s="15"/>
      <c r="G69" s="15"/>
      <c r="H69" s="15"/>
      <c r="I69" s="15"/>
      <c r="J69" s="15"/>
      <c r="K69" s="11"/>
      <c r="L69" s="14"/>
      <c r="M69" s="15"/>
      <c r="N69" s="12"/>
      <c r="O69" s="15"/>
      <c r="P69" s="11"/>
      <c r="Q69" s="11"/>
      <c r="R69" s="14"/>
      <c r="S69" s="12"/>
      <c r="T69" s="15"/>
      <c r="U69" s="15"/>
      <c r="V69" s="11"/>
      <c r="W69" s="16"/>
      <c r="X69" s="15"/>
      <c r="Y69" s="15"/>
      <c r="Z69" s="15"/>
      <c r="AA69" s="15"/>
      <c r="AB69" s="14"/>
      <c r="AC69" s="14"/>
      <c r="AD69" s="11"/>
      <c r="AE69" s="11"/>
      <c r="AF69" s="15"/>
      <c r="AG69" s="15"/>
      <c r="AH69" s="11"/>
      <c r="AI69" s="11"/>
      <c r="AJ69" s="15"/>
      <c r="AK69" s="12"/>
      <c r="AL69" s="15"/>
      <c r="AM69" s="15"/>
      <c r="AN69" s="15"/>
      <c r="AO69" s="15"/>
      <c r="AP69" s="15"/>
      <c r="AQ69" s="15"/>
      <c r="AR69" s="15"/>
      <c r="AS69" s="16"/>
      <c r="AT69" s="11"/>
      <c r="AU69" s="11"/>
      <c r="AV69" s="11"/>
      <c r="AW69" s="11"/>
      <c r="AX69" s="11"/>
      <c r="AY69" s="16"/>
      <c r="AZ69" s="16"/>
      <c r="BA69" s="11"/>
      <c r="BB69" s="11"/>
      <c r="BC69" s="11"/>
      <c r="BD69" s="11"/>
      <c r="BE69" s="14"/>
      <c r="BF69" s="17"/>
      <c r="BG69" s="14"/>
      <c r="BH69" s="14"/>
      <c r="BI69" s="14"/>
      <c r="BJ69" s="14"/>
      <c r="BK69" s="18"/>
    </row>
    <row r="70" spans="1:63" ht="12.75">
      <c r="A70" s="14"/>
      <c r="B70" s="15"/>
      <c r="C70" s="15"/>
      <c r="D70" s="11"/>
      <c r="E70" s="12"/>
      <c r="F70" s="15"/>
      <c r="G70" s="15"/>
      <c r="H70" s="15"/>
      <c r="I70" s="15"/>
      <c r="J70" s="15"/>
      <c r="K70" s="11"/>
      <c r="L70" s="14"/>
      <c r="M70" s="15"/>
      <c r="N70" s="12"/>
      <c r="O70" s="15"/>
      <c r="P70" s="11"/>
      <c r="Q70" s="11"/>
      <c r="R70" s="14"/>
      <c r="S70" s="12"/>
      <c r="T70" s="15"/>
      <c r="U70" s="15"/>
      <c r="V70" s="11"/>
      <c r="W70" s="15"/>
      <c r="X70" s="15"/>
      <c r="Y70" s="15"/>
      <c r="Z70" s="15"/>
      <c r="AA70" s="15"/>
      <c r="AB70" s="14"/>
      <c r="AC70" s="14"/>
      <c r="AD70" s="11"/>
      <c r="AE70" s="11"/>
      <c r="AF70" s="15"/>
      <c r="AG70" s="15"/>
      <c r="AH70" s="11"/>
      <c r="AI70" s="15"/>
      <c r="AJ70" s="15"/>
      <c r="AK70" s="14"/>
      <c r="AL70" s="15"/>
      <c r="AM70" s="14"/>
      <c r="AN70" s="11"/>
      <c r="AO70" s="11"/>
      <c r="AP70" s="11"/>
      <c r="AQ70" s="15"/>
      <c r="AR70" s="15"/>
      <c r="AS70" s="16"/>
      <c r="AT70" s="11"/>
      <c r="AU70" s="11"/>
      <c r="AV70" s="11"/>
      <c r="AW70" s="11"/>
      <c r="AX70" s="11"/>
      <c r="AY70" s="16"/>
      <c r="AZ70" s="16"/>
      <c r="BA70" s="11"/>
      <c r="BB70" s="11"/>
      <c r="BC70" s="11"/>
      <c r="BD70" s="11"/>
      <c r="BE70" s="14"/>
      <c r="BF70" s="17"/>
      <c r="BG70" s="14"/>
      <c r="BH70" s="14"/>
      <c r="BI70" s="14"/>
      <c r="BJ70" s="14"/>
      <c r="BK70" s="18"/>
    </row>
    <row r="71" spans="1:63" ht="12.75">
      <c r="A71" s="11"/>
      <c r="B71" s="15"/>
      <c r="C71" s="13"/>
      <c r="D71" s="11"/>
      <c r="E71" s="11"/>
      <c r="F71" s="11"/>
      <c r="G71" s="11"/>
      <c r="H71" s="11"/>
      <c r="I71" s="11"/>
      <c r="J71" s="11"/>
      <c r="K71" s="11"/>
      <c r="L71" s="11"/>
      <c r="M71" s="15"/>
      <c r="N71" s="11"/>
      <c r="O71" s="15"/>
      <c r="P71" s="11"/>
      <c r="Q71" s="11"/>
      <c r="R71" s="14"/>
      <c r="S71" s="11"/>
      <c r="T71" s="11"/>
      <c r="U71" s="11"/>
      <c r="V71" s="11"/>
      <c r="W71" s="15"/>
      <c r="X71" s="15"/>
      <c r="Y71" s="15"/>
      <c r="Z71" s="15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6"/>
      <c r="AZ71" s="16"/>
      <c r="BA71" s="11"/>
      <c r="BB71" s="11"/>
      <c r="BC71" s="11"/>
      <c r="BD71" s="11"/>
      <c r="BE71" s="14"/>
      <c r="BF71" s="17"/>
      <c r="BG71" s="14"/>
      <c r="BH71" s="11"/>
      <c r="BI71" s="14"/>
      <c r="BJ71" s="14"/>
      <c r="BK71" s="18"/>
    </row>
    <row r="72" spans="1:63" ht="12.75">
      <c r="A72" s="11"/>
      <c r="B72" s="15"/>
      <c r="C72" s="15"/>
      <c r="D72" s="11"/>
      <c r="E72" s="12"/>
      <c r="F72" s="15"/>
      <c r="G72" s="15"/>
      <c r="H72" s="15"/>
      <c r="I72" s="15"/>
      <c r="J72" s="15"/>
      <c r="K72" s="11"/>
      <c r="L72" s="14"/>
      <c r="M72" s="15"/>
      <c r="N72" s="12"/>
      <c r="O72" s="11"/>
      <c r="P72" s="11"/>
      <c r="Q72" s="11"/>
      <c r="R72" s="14"/>
      <c r="S72" s="12"/>
      <c r="T72" s="15"/>
      <c r="U72" s="15"/>
      <c r="V72" s="11"/>
      <c r="W72" s="15"/>
      <c r="X72" s="15"/>
      <c r="Y72" s="15"/>
      <c r="Z72" s="15"/>
      <c r="AA72" s="15"/>
      <c r="AB72" s="14"/>
      <c r="AC72" s="14"/>
      <c r="AD72" s="11"/>
      <c r="AE72" s="11"/>
      <c r="AF72" s="15"/>
      <c r="AG72" s="15"/>
      <c r="AH72" s="11"/>
      <c r="AI72" s="15"/>
      <c r="AJ72" s="15"/>
      <c r="AK72" s="14"/>
      <c r="AL72" s="15"/>
      <c r="AM72" s="14"/>
      <c r="AN72" s="11"/>
      <c r="AO72" s="11"/>
      <c r="AP72" s="11"/>
      <c r="AQ72" s="15"/>
      <c r="AR72" s="15"/>
      <c r="AS72" s="16"/>
      <c r="AT72" s="11"/>
      <c r="AU72" s="11"/>
      <c r="AV72" s="11"/>
      <c r="AW72" s="11"/>
      <c r="AX72" s="11"/>
      <c r="AY72" s="16"/>
      <c r="AZ72" s="16"/>
      <c r="BA72" s="11"/>
      <c r="BB72" s="11"/>
      <c r="BC72" s="11"/>
      <c r="BD72" s="11"/>
      <c r="BE72" s="14"/>
      <c r="BF72" s="17"/>
      <c r="BG72" s="14"/>
      <c r="BH72" s="14"/>
      <c r="BI72" s="14"/>
      <c r="BJ72" s="14"/>
      <c r="BK72" s="18"/>
    </row>
    <row r="73" spans="1:63" ht="12.75">
      <c r="A73" s="14"/>
      <c r="B73" s="15"/>
      <c r="C73" s="13"/>
      <c r="D73" s="11"/>
      <c r="E73" s="12"/>
      <c r="F73" s="15"/>
      <c r="G73" s="15"/>
      <c r="H73" s="15"/>
      <c r="I73" s="15"/>
      <c r="J73" s="15"/>
      <c r="K73" s="11"/>
      <c r="L73" s="14"/>
      <c r="M73" s="15"/>
      <c r="N73" s="12"/>
      <c r="O73" s="15"/>
      <c r="P73" s="11"/>
      <c r="Q73" s="11"/>
      <c r="R73" s="14"/>
      <c r="S73" s="12"/>
      <c r="T73" s="11"/>
      <c r="U73" s="15"/>
      <c r="V73" s="11"/>
      <c r="W73" s="15"/>
      <c r="X73" s="15"/>
      <c r="Y73" s="15"/>
      <c r="Z73" s="15"/>
      <c r="AA73" s="15"/>
      <c r="AB73" s="14"/>
      <c r="AC73" s="14"/>
      <c r="AD73" s="11"/>
      <c r="AE73" s="11"/>
      <c r="AF73" s="15"/>
      <c r="AG73" s="15"/>
      <c r="AH73" s="11"/>
      <c r="AI73" s="15"/>
      <c r="AJ73" s="15"/>
      <c r="AK73" s="14"/>
      <c r="AL73" s="15"/>
      <c r="AM73" s="15"/>
      <c r="AN73" s="15"/>
      <c r="AO73" s="15"/>
      <c r="AP73" s="15"/>
      <c r="AQ73" s="15"/>
      <c r="AR73" s="15"/>
      <c r="AS73" s="16"/>
      <c r="AT73" s="11"/>
      <c r="AU73" s="11"/>
      <c r="AV73" s="11"/>
      <c r="AW73" s="11"/>
      <c r="AX73" s="11"/>
      <c r="AY73" s="16"/>
      <c r="AZ73" s="11"/>
      <c r="BA73" s="11"/>
      <c r="BB73" s="11"/>
      <c r="BC73" s="14"/>
      <c r="BD73" s="11"/>
      <c r="BE73" s="14"/>
      <c r="BF73" s="24"/>
      <c r="BG73" s="14"/>
      <c r="BH73" s="14"/>
      <c r="BI73" s="14"/>
      <c r="BJ73" s="14"/>
      <c r="BK73" s="18"/>
    </row>
    <row r="74" spans="1:63" ht="12.75">
      <c r="A74" s="11"/>
      <c r="B74" s="15"/>
      <c r="C74" s="13"/>
      <c r="D74" s="11"/>
      <c r="E74" s="12"/>
      <c r="F74" s="11"/>
      <c r="G74" s="15"/>
      <c r="H74" s="11"/>
      <c r="I74" s="15"/>
      <c r="J74" s="15"/>
      <c r="K74" s="11"/>
      <c r="L74" s="14"/>
      <c r="M74" s="15"/>
      <c r="N74" s="11"/>
      <c r="O74" s="11"/>
      <c r="P74" s="11"/>
      <c r="Q74" s="11"/>
      <c r="R74" s="11"/>
      <c r="S74" s="11"/>
      <c r="T74" s="11"/>
      <c r="U74" s="11"/>
      <c r="V74" s="11"/>
      <c r="W74" s="15"/>
      <c r="X74" s="15"/>
      <c r="Y74" s="15"/>
      <c r="Z74" s="15"/>
      <c r="AA74" s="11"/>
      <c r="AB74" s="11"/>
      <c r="AC74" s="11"/>
      <c r="AD74" s="11"/>
      <c r="AE74" s="11"/>
      <c r="AF74" s="11"/>
      <c r="AG74" s="15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6"/>
      <c r="AZ74" s="16"/>
      <c r="BA74" s="11"/>
      <c r="BB74" s="11"/>
      <c r="BC74" s="11"/>
      <c r="BD74" s="11"/>
      <c r="BE74" s="14"/>
      <c r="BF74" s="17"/>
      <c r="BG74" s="14"/>
      <c r="BH74" s="14"/>
      <c r="BI74" s="14"/>
      <c r="BJ74" s="14"/>
      <c r="BK74" s="18"/>
    </row>
    <row r="75" spans="1:63" ht="12.75">
      <c r="A75" s="11"/>
      <c r="B75" s="15"/>
      <c r="C75" s="13"/>
      <c r="D75" s="11"/>
      <c r="E75" s="12"/>
      <c r="F75" s="11"/>
      <c r="G75" s="15"/>
      <c r="H75" s="15"/>
      <c r="I75" s="15"/>
      <c r="J75" s="15"/>
      <c r="K75" s="11"/>
      <c r="L75" s="11"/>
      <c r="M75" s="15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5"/>
      <c r="Z75" s="15"/>
      <c r="AA75" s="11"/>
      <c r="AB75" s="11"/>
      <c r="AC75" s="11"/>
      <c r="AD75" s="11"/>
      <c r="AE75" s="11"/>
      <c r="AF75" s="11"/>
      <c r="AG75" s="11"/>
      <c r="AH75" s="11"/>
      <c r="AI75" s="15"/>
      <c r="AJ75" s="15"/>
      <c r="AK75" s="12"/>
      <c r="AL75" s="15"/>
      <c r="AM75" s="14"/>
      <c r="AN75" s="11"/>
      <c r="AO75" s="11"/>
      <c r="AP75" s="11"/>
      <c r="AQ75" s="11"/>
      <c r="AR75" s="11"/>
      <c r="AS75" s="16"/>
      <c r="AT75" s="11"/>
      <c r="AU75" s="11"/>
      <c r="AV75" s="11"/>
      <c r="AW75" s="11"/>
      <c r="AX75" s="11"/>
      <c r="AY75" s="16"/>
      <c r="AZ75" s="16"/>
      <c r="BA75" s="11"/>
      <c r="BB75" s="11"/>
      <c r="BC75" s="11"/>
      <c r="BD75" s="11"/>
      <c r="BE75" s="14"/>
      <c r="BF75" s="17"/>
      <c r="BG75" s="14"/>
      <c r="BH75" s="14"/>
      <c r="BI75" s="14"/>
      <c r="BJ75" s="14"/>
      <c r="BK75" s="18"/>
    </row>
    <row r="76" spans="1:63" ht="12.75">
      <c r="A76" s="14"/>
      <c r="B76" s="15"/>
      <c r="C76" s="13"/>
      <c r="D76" s="11"/>
      <c r="E76" s="12"/>
      <c r="F76" s="15"/>
      <c r="G76" s="15"/>
      <c r="H76" s="15"/>
      <c r="I76" s="15"/>
      <c r="J76" s="15"/>
      <c r="K76" s="11"/>
      <c r="L76" s="15"/>
      <c r="M76" s="15"/>
      <c r="N76" s="11"/>
      <c r="O76" s="11"/>
      <c r="P76" s="11"/>
      <c r="Q76" s="11"/>
      <c r="R76" s="14"/>
      <c r="S76" s="12"/>
      <c r="T76" s="11"/>
      <c r="U76" s="15"/>
      <c r="V76" s="11"/>
      <c r="W76" s="15"/>
      <c r="X76" s="15"/>
      <c r="Y76" s="15"/>
      <c r="Z76" s="15"/>
      <c r="AA76" s="15"/>
      <c r="AB76" s="14"/>
      <c r="AC76" s="14"/>
      <c r="AD76" s="11"/>
      <c r="AE76" s="11"/>
      <c r="AF76" s="11"/>
      <c r="AG76" s="15"/>
      <c r="AH76" s="11"/>
      <c r="AI76" s="11"/>
      <c r="AJ76" s="15"/>
      <c r="AK76" s="14"/>
      <c r="AL76" s="15"/>
      <c r="AM76" s="14"/>
      <c r="AN76" s="11"/>
      <c r="AO76" s="11"/>
      <c r="AP76" s="11"/>
      <c r="AQ76" s="15"/>
      <c r="AR76" s="15"/>
      <c r="AS76" s="16"/>
      <c r="AT76" s="11"/>
      <c r="AU76" s="11"/>
      <c r="AV76" s="11"/>
      <c r="AW76" s="11"/>
      <c r="AX76" s="11"/>
      <c r="AY76" s="16"/>
      <c r="AZ76" s="16"/>
      <c r="BA76" s="16"/>
      <c r="BB76" s="16"/>
      <c r="BC76" s="11"/>
      <c r="BD76" s="11"/>
      <c r="BE76" s="14"/>
      <c r="BF76" s="17"/>
      <c r="BG76" s="14"/>
      <c r="BH76" s="11"/>
      <c r="BI76" s="19"/>
      <c r="BJ76" s="14"/>
      <c r="BK76" s="18"/>
    </row>
    <row r="77" spans="1:63" ht="12.75">
      <c r="A77" s="11"/>
      <c r="B77" s="15"/>
      <c r="C77" s="13"/>
      <c r="D77" s="11"/>
      <c r="E77" s="12"/>
      <c r="F77" s="15"/>
      <c r="G77" s="15"/>
      <c r="H77" s="15"/>
      <c r="I77" s="11"/>
      <c r="J77" s="11"/>
      <c r="K77" s="11"/>
      <c r="L77" s="14"/>
      <c r="M77" s="15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5"/>
      <c r="AG77" s="15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6"/>
      <c r="AZ77" s="16"/>
      <c r="BA77" s="11"/>
      <c r="BB77" s="11"/>
      <c r="BC77" s="11"/>
      <c r="BD77" s="11"/>
      <c r="BE77" s="14"/>
      <c r="BF77" s="17"/>
      <c r="BG77" s="14"/>
      <c r="BH77" s="14"/>
      <c r="BI77" s="14"/>
      <c r="BJ77" s="14"/>
      <c r="BK77" s="18"/>
    </row>
    <row r="78" spans="1:63" ht="12.75">
      <c r="A78" s="11"/>
      <c r="B78" s="15"/>
      <c r="C78" s="13"/>
      <c r="D78" s="11"/>
      <c r="E78" s="11"/>
      <c r="F78" s="11"/>
      <c r="G78" s="11"/>
      <c r="H78" s="15"/>
      <c r="I78" s="15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24"/>
      <c r="BG78" s="11"/>
      <c r="BH78" s="11"/>
      <c r="BI78" s="11"/>
      <c r="BJ78" s="11"/>
    </row>
    <row r="79" spans="1:63" ht="12.75">
      <c r="A79" s="11"/>
      <c r="B79" s="15"/>
      <c r="C79" s="13"/>
      <c r="D79" s="11"/>
      <c r="E79" s="11"/>
      <c r="F79" s="11"/>
      <c r="G79" s="15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24"/>
      <c r="BG79" s="11"/>
      <c r="BH79" s="11"/>
      <c r="BI79" s="11"/>
      <c r="BJ79" s="11"/>
    </row>
    <row r="80" spans="1:63" ht="12.75">
      <c r="A80" s="11"/>
      <c r="B80" s="15"/>
      <c r="C80" s="15"/>
      <c r="D80" s="11"/>
      <c r="E80" s="12"/>
      <c r="F80" s="15"/>
      <c r="G80" s="15"/>
      <c r="H80" s="11"/>
      <c r="I80" s="11"/>
      <c r="J80" s="11"/>
      <c r="K80" s="11"/>
      <c r="L80" s="14"/>
      <c r="M80" s="15"/>
      <c r="N80" s="11"/>
      <c r="O80" s="15"/>
      <c r="P80" s="11"/>
      <c r="Q80" s="11"/>
      <c r="R80" s="14"/>
      <c r="S80" s="12"/>
      <c r="T80" s="15"/>
      <c r="U80" s="15"/>
      <c r="V80" s="11"/>
      <c r="W80" s="11"/>
      <c r="X80" s="11"/>
      <c r="Y80" s="11"/>
      <c r="Z80" s="11"/>
      <c r="AA80" s="15"/>
      <c r="AB80" s="14"/>
      <c r="AC80" s="14"/>
      <c r="AD80" s="11"/>
      <c r="AE80" s="11"/>
      <c r="AF80" s="11"/>
      <c r="AG80" s="11"/>
      <c r="AH80" s="11"/>
      <c r="AI80" s="15"/>
      <c r="AJ80" s="15"/>
      <c r="AK80" s="12"/>
      <c r="AL80" s="15"/>
      <c r="AM80" s="11"/>
      <c r="AN80" s="11"/>
      <c r="AO80" s="11"/>
      <c r="AP80" s="11"/>
      <c r="AQ80" s="15"/>
      <c r="AR80" s="15"/>
      <c r="AS80" s="16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4"/>
      <c r="BF80" s="17"/>
      <c r="BG80" s="14"/>
      <c r="BH80" s="14"/>
      <c r="BI80" s="14"/>
      <c r="BJ80" s="14"/>
      <c r="BK80" s="18"/>
    </row>
    <row r="81" spans="1:63" ht="12.75">
      <c r="A81" s="11"/>
      <c r="B81" s="15"/>
      <c r="C81" s="15"/>
      <c r="D81" s="11"/>
      <c r="E81" s="11"/>
      <c r="F81" s="11"/>
      <c r="G81" s="15"/>
      <c r="H81" s="15"/>
      <c r="I81" s="15"/>
      <c r="J81" s="15"/>
      <c r="K81" s="11"/>
      <c r="L81" s="14"/>
      <c r="M81" s="15"/>
      <c r="N81" s="12"/>
      <c r="O81" s="15"/>
      <c r="P81" s="11"/>
      <c r="Q81" s="11"/>
      <c r="R81" s="14"/>
      <c r="S81" s="12"/>
      <c r="T81" s="15"/>
      <c r="U81" s="15"/>
      <c r="V81" s="11"/>
      <c r="W81" s="15"/>
      <c r="X81" s="15"/>
      <c r="Y81" s="15"/>
      <c r="Z81" s="15"/>
      <c r="AA81" s="15"/>
      <c r="AB81" s="14"/>
      <c r="AC81" s="11"/>
      <c r="AD81" s="11"/>
      <c r="AE81" s="11"/>
      <c r="AF81" s="11"/>
      <c r="AG81" s="15"/>
      <c r="AH81" s="11"/>
      <c r="AI81" s="15"/>
      <c r="AJ81" s="15"/>
      <c r="AK81" s="12"/>
      <c r="AL81" s="15"/>
      <c r="AM81" s="14"/>
      <c r="AN81" s="11"/>
      <c r="AO81" s="11"/>
      <c r="AP81" s="14"/>
      <c r="AQ81" s="15"/>
      <c r="AR81" s="15"/>
      <c r="AS81" s="16"/>
      <c r="AT81" s="11"/>
      <c r="AU81" s="11"/>
      <c r="AV81" s="11"/>
      <c r="AW81" s="11"/>
      <c r="AX81" s="11"/>
      <c r="AY81" s="16"/>
      <c r="AZ81" s="16"/>
      <c r="BA81" s="11"/>
      <c r="BB81" s="11"/>
      <c r="BC81" s="14"/>
      <c r="BD81" s="11"/>
      <c r="BE81" s="14"/>
      <c r="BF81" s="24"/>
      <c r="BG81" s="14"/>
      <c r="BH81" s="14"/>
      <c r="BI81" s="14"/>
      <c r="BJ81" s="22"/>
      <c r="BK81" s="23"/>
    </row>
    <row r="82" spans="1:63" ht="12.75">
      <c r="A82" s="11"/>
      <c r="B82" s="15"/>
      <c r="C82" s="13"/>
      <c r="D82" s="11"/>
      <c r="E82" s="15"/>
      <c r="F82" s="15"/>
      <c r="G82" s="15"/>
      <c r="H82" s="15"/>
      <c r="I82" s="15"/>
      <c r="J82" s="15"/>
      <c r="K82" s="11"/>
      <c r="L82" s="14"/>
      <c r="M82" s="15"/>
      <c r="N82" s="12"/>
      <c r="O82" s="15"/>
      <c r="P82" s="11"/>
      <c r="Q82" s="11"/>
      <c r="R82" s="14"/>
      <c r="S82" s="12"/>
      <c r="T82" s="15"/>
      <c r="U82" s="15"/>
      <c r="V82" s="11"/>
      <c r="W82" s="15"/>
      <c r="X82" s="15"/>
      <c r="Y82" s="15"/>
      <c r="Z82" s="15"/>
      <c r="AA82" s="15"/>
      <c r="AB82" s="14"/>
      <c r="AC82" s="14"/>
      <c r="AD82" s="11"/>
      <c r="AE82" s="11"/>
      <c r="AF82" s="15"/>
      <c r="AG82" s="15"/>
      <c r="AH82" s="11"/>
      <c r="AI82" s="15"/>
      <c r="AJ82" s="15"/>
      <c r="AK82" s="14"/>
      <c r="AL82" s="15"/>
      <c r="AM82" s="14"/>
      <c r="AN82" s="11"/>
      <c r="AO82" s="11"/>
      <c r="AP82" s="11"/>
      <c r="AQ82" s="15"/>
      <c r="AR82" s="15"/>
      <c r="AS82" s="16"/>
      <c r="AT82" s="11"/>
      <c r="AU82" s="11"/>
      <c r="AV82" s="11"/>
      <c r="AW82" s="11"/>
      <c r="AX82" s="11"/>
      <c r="AY82" s="16"/>
      <c r="AZ82" s="16"/>
      <c r="BA82" s="11"/>
      <c r="BB82" s="11"/>
      <c r="BC82" s="11"/>
      <c r="BD82" s="11"/>
      <c r="BE82" s="14"/>
      <c r="BF82" s="17"/>
      <c r="BG82" s="14"/>
      <c r="BH82" s="14"/>
      <c r="BI82" s="14"/>
      <c r="BJ82" s="14"/>
      <c r="BK82" s="18"/>
    </row>
    <row r="83" spans="1:63" ht="12.75">
      <c r="A83" s="14"/>
      <c r="B83" s="15"/>
      <c r="C83" s="13"/>
      <c r="D83" s="11"/>
      <c r="E83" s="12"/>
      <c r="F83" s="15"/>
      <c r="G83" s="15"/>
      <c r="H83" s="15"/>
      <c r="I83" s="15"/>
      <c r="J83" s="15"/>
      <c r="K83" s="11"/>
      <c r="L83" s="14"/>
      <c r="M83" s="15"/>
      <c r="N83" s="12"/>
      <c r="O83" s="15"/>
      <c r="P83" s="11"/>
      <c r="Q83" s="11"/>
      <c r="R83" s="14"/>
      <c r="S83" s="11"/>
      <c r="T83" s="11"/>
      <c r="U83" s="15"/>
      <c r="V83" s="11"/>
      <c r="W83" s="15"/>
      <c r="X83" s="15"/>
      <c r="Y83" s="15"/>
      <c r="Z83" s="11"/>
      <c r="AA83" s="11"/>
      <c r="AB83" s="14"/>
      <c r="AC83" s="11"/>
      <c r="AD83" s="11"/>
      <c r="AE83" s="11"/>
      <c r="AF83" s="11"/>
      <c r="AG83" s="15"/>
      <c r="AH83" s="11"/>
      <c r="AI83" s="15"/>
      <c r="AJ83" s="15"/>
      <c r="AK83" s="14"/>
      <c r="AL83" s="15"/>
      <c r="AM83" s="14"/>
      <c r="AN83" s="11"/>
      <c r="AO83" s="11"/>
      <c r="AP83" s="11"/>
      <c r="AQ83" s="15"/>
      <c r="AR83" s="15"/>
      <c r="AS83" s="16"/>
      <c r="AT83" s="11"/>
      <c r="AU83" s="11"/>
      <c r="AV83" s="11"/>
      <c r="AW83" s="11"/>
      <c r="AX83" s="11"/>
      <c r="AY83" s="16"/>
      <c r="AZ83" s="16"/>
      <c r="BA83" s="11"/>
      <c r="BB83" s="11"/>
      <c r="BC83" s="14"/>
      <c r="BD83" s="11"/>
      <c r="BE83" s="14"/>
      <c r="BF83" s="17"/>
      <c r="BG83" s="14"/>
      <c r="BH83" s="14"/>
      <c r="BI83" s="14"/>
      <c r="BJ83" s="14"/>
      <c r="BK83" s="18"/>
    </row>
    <row r="84" spans="1:63" ht="12.75">
      <c r="A84" s="11"/>
      <c r="B84" s="15"/>
      <c r="C84" s="15"/>
      <c r="D84" s="11"/>
      <c r="E84" s="12"/>
      <c r="F84" s="11"/>
      <c r="G84" s="15"/>
      <c r="H84" s="15"/>
      <c r="I84" s="15"/>
      <c r="J84" s="15"/>
      <c r="K84" s="11"/>
      <c r="L84" s="14"/>
      <c r="M84" s="15"/>
      <c r="N84" s="11"/>
      <c r="O84" s="11"/>
      <c r="P84" s="11"/>
      <c r="Q84" s="11"/>
      <c r="R84" s="11"/>
      <c r="S84" s="11"/>
      <c r="T84" s="15"/>
      <c r="U84" s="15"/>
      <c r="V84" s="11"/>
      <c r="W84" s="15"/>
      <c r="X84" s="15"/>
      <c r="Y84" s="15"/>
      <c r="Z84" s="11"/>
      <c r="AA84" s="15"/>
      <c r="AB84" s="11"/>
      <c r="AC84" s="11"/>
      <c r="AD84" s="11"/>
      <c r="AE84" s="11"/>
      <c r="AF84" s="11"/>
      <c r="AG84" s="15"/>
      <c r="AH84" s="11"/>
      <c r="AI84" s="11"/>
      <c r="AJ84" s="15"/>
      <c r="AK84" s="14"/>
      <c r="AL84" s="15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24"/>
      <c r="BG84" s="11"/>
      <c r="BH84" s="11"/>
      <c r="BI84" s="11"/>
      <c r="BJ84" s="11"/>
    </row>
    <row r="85" spans="1:63" ht="12.75">
      <c r="A85" s="14"/>
      <c r="B85" s="15"/>
      <c r="C85" s="15"/>
      <c r="D85" s="11"/>
      <c r="E85" s="12"/>
      <c r="F85" s="15"/>
      <c r="G85" s="15"/>
      <c r="H85" s="15"/>
      <c r="I85" s="15"/>
      <c r="J85" s="15"/>
      <c r="K85" s="11"/>
      <c r="L85" s="14"/>
      <c r="M85" s="15"/>
      <c r="N85" s="12"/>
      <c r="O85" s="15"/>
      <c r="P85" s="11"/>
      <c r="Q85" s="11"/>
      <c r="R85" s="14"/>
      <c r="S85" s="12"/>
      <c r="T85" s="15"/>
      <c r="U85" s="15"/>
      <c r="V85" s="11"/>
      <c r="W85" s="15"/>
      <c r="X85" s="15"/>
      <c r="Y85" s="15"/>
      <c r="Z85" s="15"/>
      <c r="AA85" s="15"/>
      <c r="AB85" s="14"/>
      <c r="AC85" s="14"/>
      <c r="AD85" s="11"/>
      <c r="AE85" s="11"/>
      <c r="AF85" s="11"/>
      <c r="AG85" s="15"/>
      <c r="AH85" s="11"/>
      <c r="AI85" s="15"/>
      <c r="AJ85" s="15"/>
      <c r="AK85" s="14"/>
      <c r="AL85" s="15"/>
      <c r="AM85" s="14"/>
      <c r="AN85" s="11"/>
      <c r="AO85" s="11"/>
      <c r="AP85" s="11"/>
      <c r="AQ85" s="15"/>
      <c r="AR85" s="15"/>
      <c r="AS85" s="16"/>
      <c r="AT85" s="11"/>
      <c r="AU85" s="11"/>
      <c r="AV85" s="11"/>
      <c r="AW85" s="11"/>
      <c r="AX85" s="11"/>
      <c r="AY85" s="16"/>
      <c r="AZ85" s="16"/>
      <c r="BA85" s="16"/>
      <c r="BB85" s="29"/>
      <c r="BC85" s="14"/>
      <c r="BD85" s="25"/>
      <c r="BE85" s="14"/>
      <c r="BF85" s="17"/>
      <c r="BG85" s="14"/>
      <c r="BH85" s="11"/>
      <c r="BI85" s="14"/>
      <c r="BJ85" s="22"/>
      <c r="BK85" s="23"/>
    </row>
    <row r="86" spans="1:63" ht="12.75">
      <c r="A86" s="14"/>
      <c r="B86" s="15"/>
      <c r="C86" s="15"/>
      <c r="D86" s="11"/>
      <c r="E86" s="12"/>
      <c r="F86" s="15"/>
      <c r="G86" s="15"/>
      <c r="H86" s="15"/>
      <c r="I86" s="15"/>
      <c r="J86" s="15"/>
      <c r="K86" s="11"/>
      <c r="L86" s="14"/>
      <c r="M86" s="15"/>
      <c r="N86" s="12"/>
      <c r="O86" s="15"/>
      <c r="P86" s="11"/>
      <c r="Q86" s="11"/>
      <c r="R86" s="14"/>
      <c r="S86" s="12"/>
      <c r="T86" s="15"/>
      <c r="U86" s="15"/>
      <c r="V86" s="11"/>
      <c r="W86" s="15"/>
      <c r="X86" s="15"/>
      <c r="Y86" s="15"/>
      <c r="Z86" s="15"/>
      <c r="AA86" s="15"/>
      <c r="AB86" s="14"/>
      <c r="AC86" s="14"/>
      <c r="AD86" s="11"/>
      <c r="AE86" s="11"/>
      <c r="AF86" s="15"/>
      <c r="AG86" s="15"/>
      <c r="AH86" s="11"/>
      <c r="AI86" s="15"/>
      <c r="AJ86" s="15"/>
      <c r="AK86" s="12"/>
      <c r="AL86" s="15"/>
      <c r="AM86" s="14"/>
      <c r="AN86" s="11"/>
      <c r="AO86" s="11"/>
      <c r="AP86" s="11"/>
      <c r="AQ86" s="15"/>
      <c r="AR86" s="15"/>
      <c r="AS86" s="16"/>
      <c r="AT86" s="11"/>
      <c r="AU86" s="11"/>
      <c r="AV86" s="11"/>
      <c r="AW86" s="11"/>
      <c r="AX86" s="11"/>
      <c r="AY86" s="16"/>
      <c r="AZ86" s="16"/>
      <c r="BA86" s="11"/>
      <c r="BB86" s="11"/>
      <c r="BC86" s="11"/>
      <c r="BD86" s="11"/>
      <c r="BE86" s="14"/>
      <c r="BF86" s="17"/>
      <c r="BG86" s="14"/>
      <c r="BH86" s="14"/>
      <c r="BI86" s="14"/>
      <c r="BJ86" s="14"/>
      <c r="BK86" s="18"/>
    </row>
    <row r="87" spans="1:63" ht="12.75">
      <c r="A87" s="11"/>
      <c r="B87" s="15"/>
      <c r="C87" s="15"/>
      <c r="D87" s="11"/>
      <c r="E87" s="12"/>
      <c r="F87" s="15"/>
      <c r="G87" s="15"/>
      <c r="H87" s="15"/>
      <c r="I87" s="15"/>
      <c r="J87" s="15"/>
      <c r="K87" s="11"/>
      <c r="L87" s="14"/>
      <c r="M87" s="15"/>
      <c r="N87" s="12"/>
      <c r="O87" s="11"/>
      <c r="P87" s="11"/>
      <c r="Q87" s="11"/>
      <c r="R87" s="14"/>
      <c r="S87" s="12"/>
      <c r="T87" s="15"/>
      <c r="U87" s="15"/>
      <c r="V87" s="11"/>
      <c r="W87" s="15"/>
      <c r="X87" s="15"/>
      <c r="Y87" s="15"/>
      <c r="Z87" s="15"/>
      <c r="AA87" s="15"/>
      <c r="AB87" s="14"/>
      <c r="AC87" s="14"/>
      <c r="AD87" s="11"/>
      <c r="AE87" s="11"/>
      <c r="AF87" s="15"/>
      <c r="AG87" s="15"/>
      <c r="AH87" s="11"/>
      <c r="AI87" s="15"/>
      <c r="AJ87" s="15"/>
      <c r="AK87" s="14"/>
      <c r="AL87" s="15"/>
      <c r="AM87" s="14"/>
      <c r="AN87" s="11"/>
      <c r="AO87" s="11"/>
      <c r="AP87" s="14"/>
      <c r="AQ87" s="15"/>
      <c r="AR87" s="15"/>
      <c r="AS87" s="11"/>
      <c r="AT87" s="11"/>
      <c r="AU87" s="11"/>
      <c r="AV87" s="11"/>
      <c r="AW87" s="11"/>
      <c r="AX87" s="11"/>
      <c r="AY87" s="16"/>
      <c r="AZ87" s="16"/>
      <c r="BA87" s="11"/>
      <c r="BB87" s="25"/>
      <c r="BC87" s="11"/>
      <c r="BD87" s="25"/>
      <c r="BE87" s="14"/>
      <c r="BF87" s="17"/>
      <c r="BG87" s="14"/>
      <c r="BH87" s="14"/>
      <c r="BI87" s="14"/>
      <c r="BJ87" s="14"/>
      <c r="BK87" s="18"/>
    </row>
    <row r="88" spans="1:63" ht="12.75">
      <c r="A88" s="14"/>
      <c r="B88" s="15"/>
      <c r="C88" s="13"/>
      <c r="D88" s="11"/>
      <c r="E88" s="12"/>
      <c r="F88" s="15"/>
      <c r="G88" s="15"/>
      <c r="H88" s="15"/>
      <c r="I88" s="15"/>
      <c r="J88" s="15"/>
      <c r="K88" s="11"/>
      <c r="L88" s="14"/>
      <c r="M88" s="15"/>
      <c r="N88" s="12"/>
      <c r="O88" s="11"/>
      <c r="P88" s="11"/>
      <c r="Q88" s="11"/>
      <c r="R88" s="14"/>
      <c r="S88" s="12"/>
      <c r="T88" s="11"/>
      <c r="U88" s="15"/>
      <c r="V88" s="11"/>
      <c r="W88" s="15"/>
      <c r="X88" s="15"/>
      <c r="Y88" s="15"/>
      <c r="Z88" s="15"/>
      <c r="AA88" s="15"/>
      <c r="AB88" s="14"/>
      <c r="AC88" s="14"/>
      <c r="AD88" s="11"/>
      <c r="AE88" s="11"/>
      <c r="AF88" s="11"/>
      <c r="AG88" s="15"/>
      <c r="AH88" s="11"/>
      <c r="AI88" s="15"/>
      <c r="AJ88" s="15"/>
      <c r="AK88" s="14"/>
      <c r="AL88" s="15"/>
      <c r="AM88" s="14"/>
      <c r="AN88" s="11"/>
      <c r="AO88" s="11"/>
      <c r="AP88" s="11"/>
      <c r="AQ88" s="15"/>
      <c r="AR88" s="15"/>
      <c r="AS88" s="16"/>
      <c r="AT88" s="16"/>
      <c r="AU88" s="11"/>
      <c r="AV88" s="11"/>
      <c r="AW88" s="11"/>
      <c r="AX88" s="11"/>
      <c r="AY88" s="16"/>
      <c r="AZ88" s="16"/>
      <c r="BA88" s="11"/>
      <c r="BB88" s="25"/>
      <c r="BC88" s="14"/>
      <c r="BD88" s="11"/>
      <c r="BE88" s="14"/>
      <c r="BF88" s="17"/>
      <c r="BG88" s="11"/>
      <c r="BH88" s="14"/>
      <c r="BI88" s="19"/>
      <c r="BJ88" s="14"/>
      <c r="BK88" s="18"/>
    </row>
    <row r="89" spans="1:63" ht="12.75">
      <c r="A89" s="14"/>
      <c r="B89" s="15"/>
      <c r="C89" s="13"/>
      <c r="D89" s="11"/>
      <c r="E89" s="12"/>
      <c r="F89" s="15"/>
      <c r="G89" s="15"/>
      <c r="H89" s="15"/>
      <c r="I89" s="15"/>
      <c r="J89" s="15"/>
      <c r="K89" s="11"/>
      <c r="L89" s="14"/>
      <c r="M89" s="15"/>
      <c r="N89" s="12"/>
      <c r="O89" s="11"/>
      <c r="P89" s="11"/>
      <c r="Q89" s="11"/>
      <c r="R89" s="14"/>
      <c r="S89" s="11"/>
      <c r="T89" s="11"/>
      <c r="U89" s="15"/>
      <c r="V89" s="11"/>
      <c r="W89" s="15"/>
      <c r="X89" s="15"/>
      <c r="Y89" s="15"/>
      <c r="Z89" s="15"/>
      <c r="AA89" s="15"/>
      <c r="AB89" s="14"/>
      <c r="AC89" s="11"/>
      <c r="AD89" s="11"/>
      <c r="AE89" s="11"/>
      <c r="AF89" s="11"/>
      <c r="AG89" s="15"/>
      <c r="AH89" s="11"/>
      <c r="AI89" s="15"/>
      <c r="AJ89" s="15"/>
      <c r="AK89" s="12"/>
      <c r="AL89" s="15"/>
      <c r="AM89" s="14"/>
      <c r="AN89" s="11"/>
      <c r="AO89" s="11"/>
      <c r="AP89" s="14"/>
      <c r="AQ89" s="15"/>
      <c r="AR89" s="15"/>
      <c r="AS89" s="16"/>
      <c r="AT89" s="11"/>
      <c r="AU89" s="11"/>
      <c r="AV89" s="11"/>
      <c r="AW89" s="11"/>
      <c r="AX89" s="11"/>
      <c r="AY89" s="16"/>
      <c r="AZ89" s="16"/>
      <c r="BA89" s="11"/>
      <c r="BB89" s="11"/>
      <c r="BC89" s="14"/>
      <c r="BD89" s="11"/>
      <c r="BE89" s="14"/>
      <c r="BF89" s="17"/>
      <c r="BG89" s="14"/>
      <c r="BH89" s="11"/>
      <c r="BI89" s="14"/>
      <c r="BJ89" s="22"/>
      <c r="BK89" s="23"/>
    </row>
    <row r="90" spans="1:63" ht="12.75">
      <c r="A90" s="11"/>
      <c r="B90" s="15"/>
      <c r="C90" s="13"/>
      <c r="D90" s="11"/>
      <c r="E90" s="12"/>
      <c r="F90" s="15"/>
      <c r="G90" s="15"/>
      <c r="H90" s="15"/>
      <c r="I90" s="15"/>
      <c r="J90" s="15"/>
      <c r="K90" s="11"/>
      <c r="L90" s="14"/>
      <c r="M90" s="15"/>
      <c r="N90" s="12"/>
      <c r="O90" s="15"/>
      <c r="P90" s="11"/>
      <c r="Q90" s="11"/>
      <c r="R90" s="14"/>
      <c r="S90" s="12"/>
      <c r="T90" s="15"/>
      <c r="U90" s="15"/>
      <c r="V90" s="11"/>
      <c r="W90" s="15"/>
      <c r="X90" s="15"/>
      <c r="Y90" s="15"/>
      <c r="Z90" s="15"/>
      <c r="AA90" s="15"/>
      <c r="AB90" s="14"/>
      <c r="AC90" s="14"/>
      <c r="AD90" s="11"/>
      <c r="AE90" s="11"/>
      <c r="AF90" s="11"/>
      <c r="AG90" s="15"/>
      <c r="AH90" s="11"/>
      <c r="AI90" s="11"/>
      <c r="AJ90" s="15"/>
      <c r="AK90" s="14"/>
      <c r="AL90" s="15"/>
      <c r="AM90" s="14"/>
      <c r="AN90" s="11"/>
      <c r="AO90" s="11"/>
      <c r="AP90" s="11"/>
      <c r="AQ90" s="15"/>
      <c r="AR90" s="15"/>
      <c r="AS90" s="16"/>
      <c r="AT90" s="11"/>
      <c r="AU90" s="11"/>
      <c r="AV90" s="11"/>
      <c r="AW90" s="11"/>
      <c r="AX90" s="11"/>
      <c r="AY90" s="16"/>
      <c r="AZ90" s="16"/>
      <c r="BA90" s="11"/>
      <c r="BB90" s="11"/>
      <c r="BC90" s="14"/>
      <c r="BD90" s="25"/>
      <c r="BE90" s="14"/>
      <c r="BF90" s="17"/>
      <c r="BG90" s="14"/>
      <c r="BH90" s="14"/>
      <c r="BI90" s="14"/>
      <c r="BJ90" s="14"/>
      <c r="BK90" s="18"/>
    </row>
    <row r="91" spans="1:63" ht="12.75">
      <c r="A91" s="14"/>
      <c r="B91" s="15"/>
      <c r="C91" s="15"/>
      <c r="D91" s="11"/>
      <c r="E91" s="15"/>
      <c r="F91" s="15"/>
      <c r="G91" s="15"/>
      <c r="H91" s="15"/>
      <c r="I91" s="15"/>
      <c r="J91" s="15"/>
      <c r="K91" s="11"/>
      <c r="L91" s="14"/>
      <c r="M91" s="15"/>
      <c r="N91" s="12"/>
      <c r="O91" s="15"/>
      <c r="P91" s="11"/>
      <c r="Q91" s="11"/>
      <c r="R91" s="14"/>
      <c r="S91" s="12"/>
      <c r="T91" s="15"/>
      <c r="U91" s="15"/>
      <c r="V91" s="11"/>
      <c r="W91" s="15"/>
      <c r="X91" s="15"/>
      <c r="Y91" s="15"/>
      <c r="Z91" s="15"/>
      <c r="AA91" s="15"/>
      <c r="AB91" s="14"/>
      <c r="AC91" s="14"/>
      <c r="AD91" s="11"/>
      <c r="AE91" s="11"/>
      <c r="AF91" s="15"/>
      <c r="AG91" s="15"/>
      <c r="AH91" s="11"/>
      <c r="AI91" s="15"/>
      <c r="AJ91" s="15"/>
      <c r="AK91" s="14"/>
      <c r="AL91" s="15"/>
      <c r="AM91" s="14"/>
      <c r="AN91" s="11"/>
      <c r="AO91" s="11"/>
      <c r="AP91" s="11"/>
      <c r="AQ91" s="15"/>
      <c r="AR91" s="15"/>
      <c r="AS91" s="16"/>
      <c r="AT91" s="11"/>
      <c r="AU91" s="11"/>
      <c r="AV91" s="11"/>
      <c r="AW91" s="11"/>
      <c r="AX91" s="11"/>
      <c r="AY91" s="16"/>
      <c r="AZ91" s="16"/>
      <c r="BA91" s="11"/>
      <c r="BB91" s="11"/>
      <c r="BC91" s="14"/>
      <c r="BD91" s="11"/>
      <c r="BE91" s="14"/>
      <c r="BF91" s="17"/>
      <c r="BG91" s="14"/>
      <c r="BH91" s="14"/>
      <c r="BI91" s="14"/>
      <c r="BJ91" s="14"/>
      <c r="BK91" s="18"/>
    </row>
    <row r="92" spans="1:63" ht="12.75">
      <c r="A92" s="11"/>
      <c r="B92" s="15"/>
      <c r="C92" s="13"/>
      <c r="D92" s="11"/>
      <c r="E92" s="11"/>
      <c r="F92" s="11"/>
      <c r="G92" s="11"/>
      <c r="H92" s="15"/>
      <c r="I92" s="15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5"/>
      <c r="AB92" s="14"/>
      <c r="AC92" s="14"/>
      <c r="AD92" s="11"/>
      <c r="AE92" s="11"/>
      <c r="AF92" s="11"/>
      <c r="AG92" s="11"/>
      <c r="AH92" s="11"/>
      <c r="AI92" s="11"/>
      <c r="AJ92" s="11"/>
      <c r="AK92" s="11"/>
      <c r="AL92" s="11"/>
      <c r="AM92" s="14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24"/>
      <c r="BG92" s="11"/>
      <c r="BH92" s="11"/>
      <c r="BI92" s="14"/>
      <c r="BJ92" s="22"/>
      <c r="BK92" s="23"/>
    </row>
    <row r="93" spans="1:63" ht="12.75">
      <c r="A93" s="11"/>
      <c r="B93" s="15"/>
      <c r="C93" s="13"/>
      <c r="D93" s="11"/>
      <c r="E93" s="15"/>
      <c r="F93" s="11"/>
      <c r="G93" s="15"/>
      <c r="H93" s="15"/>
      <c r="I93" s="15"/>
      <c r="J93" s="15"/>
      <c r="K93" s="11"/>
      <c r="L93" s="14"/>
      <c r="M93" s="15"/>
      <c r="N93" s="12"/>
      <c r="O93" s="11"/>
      <c r="P93" s="11"/>
      <c r="Q93" s="11"/>
      <c r="R93" s="14"/>
      <c r="S93" s="11"/>
      <c r="T93" s="11"/>
      <c r="U93" s="15"/>
      <c r="V93" s="11"/>
      <c r="W93" s="11"/>
      <c r="X93" s="11"/>
      <c r="Y93" s="11"/>
      <c r="Z93" s="11"/>
      <c r="AA93" s="15"/>
      <c r="AB93" s="14"/>
      <c r="AC93" s="14"/>
      <c r="AD93" s="11"/>
      <c r="AE93" s="11"/>
      <c r="AF93" s="15"/>
      <c r="AG93" s="15"/>
      <c r="AH93" s="11"/>
      <c r="AI93" s="15"/>
      <c r="AJ93" s="11"/>
      <c r="AK93" s="12"/>
      <c r="AL93" s="15"/>
      <c r="AM93" s="14"/>
      <c r="AN93" s="11"/>
      <c r="AO93" s="11"/>
      <c r="AP93" s="14"/>
      <c r="AQ93" s="15"/>
      <c r="AR93" s="15"/>
      <c r="AS93" s="11"/>
      <c r="AT93" s="11"/>
      <c r="AU93" s="11"/>
      <c r="AV93" s="11"/>
      <c r="AW93" s="11"/>
      <c r="AX93" s="11"/>
      <c r="AY93" s="11"/>
      <c r="AZ93" s="11"/>
      <c r="BA93" s="11"/>
      <c r="BB93" s="25"/>
      <c r="BC93" s="11"/>
      <c r="BD93" s="25"/>
      <c r="BE93" s="14"/>
      <c r="BF93" s="17"/>
      <c r="BG93" s="14"/>
      <c r="BH93" s="14"/>
      <c r="BI93" s="14"/>
      <c r="BJ93" s="22"/>
      <c r="BK93" s="23"/>
    </row>
    <row r="94" spans="1:63" ht="12.75">
      <c r="A94" s="11"/>
      <c r="B94" s="15"/>
      <c r="C94" s="13"/>
      <c r="D94" s="11"/>
      <c r="E94" s="12"/>
      <c r="F94" s="15"/>
      <c r="G94" s="15"/>
      <c r="H94" s="15"/>
      <c r="I94" s="15"/>
      <c r="J94" s="15"/>
      <c r="K94" s="11"/>
      <c r="L94" s="14"/>
      <c r="M94" s="15"/>
      <c r="N94" s="12"/>
      <c r="O94" s="11"/>
      <c r="P94" s="11"/>
      <c r="Q94" s="11"/>
      <c r="R94" s="14"/>
      <c r="S94" s="12"/>
      <c r="T94" s="15"/>
      <c r="U94" s="15"/>
      <c r="V94" s="11"/>
      <c r="W94" s="15"/>
      <c r="X94" s="15"/>
      <c r="Y94" s="15"/>
      <c r="Z94" s="15"/>
      <c r="AA94" s="15"/>
      <c r="AB94" s="14"/>
      <c r="AC94" s="14"/>
      <c r="AD94" s="11"/>
      <c r="AE94" s="11"/>
      <c r="AF94" s="11"/>
      <c r="AG94" s="15"/>
      <c r="AH94" s="11"/>
      <c r="AI94" s="11"/>
      <c r="AJ94" s="15"/>
      <c r="AK94" s="14"/>
      <c r="AL94" s="15"/>
      <c r="AM94" s="14"/>
      <c r="AN94" s="11"/>
      <c r="AO94" s="11"/>
      <c r="AP94" s="11"/>
      <c r="AQ94" s="15"/>
      <c r="AR94" s="15"/>
      <c r="AS94" s="16"/>
      <c r="AT94" s="11"/>
      <c r="AU94" s="11"/>
      <c r="AV94" s="11"/>
      <c r="AW94" s="11"/>
      <c r="AX94" s="11"/>
      <c r="AY94" s="16"/>
      <c r="AZ94" s="16"/>
      <c r="BA94" s="11"/>
      <c r="BB94" s="25"/>
      <c r="BC94" s="11"/>
      <c r="BD94" s="11"/>
      <c r="BE94" s="14"/>
      <c r="BF94" s="17"/>
      <c r="BG94" s="14"/>
      <c r="BH94" s="11"/>
      <c r="BI94" s="14"/>
      <c r="BJ94" s="22"/>
      <c r="BK94" s="23"/>
    </row>
    <row r="95" spans="1:63" ht="12.75">
      <c r="A95" s="11"/>
      <c r="B95" s="15"/>
      <c r="C95" s="15"/>
      <c r="D95" s="11"/>
      <c r="E95" s="12"/>
      <c r="F95" s="15"/>
      <c r="G95" s="15"/>
      <c r="H95" s="15"/>
      <c r="I95" s="15"/>
      <c r="J95" s="15"/>
      <c r="K95" s="11"/>
      <c r="L95" s="14"/>
      <c r="M95" s="15"/>
      <c r="N95" s="12"/>
      <c r="O95" s="15"/>
      <c r="P95" s="11"/>
      <c r="Q95" s="11"/>
      <c r="R95" s="14"/>
      <c r="S95" s="12"/>
      <c r="T95" s="15"/>
      <c r="U95" s="15"/>
      <c r="V95" s="11"/>
      <c r="W95" s="15"/>
      <c r="X95" s="15"/>
      <c r="Y95" s="15"/>
      <c r="Z95" s="11"/>
      <c r="AA95" s="15"/>
      <c r="AB95" s="14"/>
      <c r="AC95" s="14"/>
      <c r="AD95" s="11"/>
      <c r="AE95" s="11"/>
      <c r="AF95" s="15"/>
      <c r="AG95" s="15"/>
      <c r="AH95" s="11"/>
      <c r="AI95" s="11"/>
      <c r="AJ95" s="15"/>
      <c r="AK95" s="12"/>
      <c r="AL95" s="15"/>
      <c r="AM95" s="14"/>
      <c r="AN95" s="11"/>
      <c r="AO95" s="11"/>
      <c r="AP95" s="14"/>
      <c r="AQ95" s="15"/>
      <c r="AR95" s="15"/>
      <c r="AS95" s="16"/>
      <c r="AT95" s="11"/>
      <c r="AU95" s="11"/>
      <c r="AV95" s="11"/>
      <c r="AW95" s="11"/>
      <c r="AX95" s="11"/>
      <c r="AY95" s="16"/>
      <c r="AZ95" s="16"/>
      <c r="BA95" s="11"/>
      <c r="BB95" s="25"/>
      <c r="BC95" s="14"/>
      <c r="BD95" s="11"/>
      <c r="BE95" s="14"/>
      <c r="BF95" s="17"/>
      <c r="BG95" s="14"/>
      <c r="BH95" s="11"/>
      <c r="BI95" s="14"/>
      <c r="BJ95" s="14"/>
      <c r="BK95" s="18"/>
    </row>
    <row r="96" spans="1:63" ht="12.75">
      <c r="A96" s="11"/>
      <c r="B96" s="15"/>
      <c r="C96" s="15"/>
      <c r="D96" s="11"/>
      <c r="E96" s="12"/>
      <c r="F96" s="15"/>
      <c r="G96" s="15"/>
      <c r="H96" s="15"/>
      <c r="I96" s="15"/>
      <c r="J96" s="15"/>
      <c r="K96" s="11"/>
      <c r="L96" s="14"/>
      <c r="M96" s="15"/>
      <c r="N96" s="11"/>
      <c r="O96" s="15"/>
      <c r="P96" s="11"/>
      <c r="Q96" s="11"/>
      <c r="R96" s="14"/>
      <c r="S96" s="12"/>
      <c r="T96" s="15"/>
      <c r="U96" s="15"/>
      <c r="V96" s="11"/>
      <c r="W96" s="15"/>
      <c r="X96" s="15"/>
      <c r="Y96" s="15"/>
      <c r="Z96" s="15"/>
      <c r="AA96" s="15"/>
      <c r="AB96" s="14"/>
      <c r="AC96" s="14"/>
      <c r="AD96" s="11"/>
      <c r="AE96" s="11"/>
      <c r="AF96" s="15"/>
      <c r="AG96" s="15"/>
      <c r="AH96" s="11"/>
      <c r="AI96" s="15"/>
      <c r="AJ96" s="15"/>
      <c r="AK96" s="14"/>
      <c r="AL96" s="15"/>
      <c r="AM96" s="14"/>
      <c r="AN96" s="11"/>
      <c r="AO96" s="11"/>
      <c r="AP96" s="11"/>
      <c r="AQ96" s="15"/>
      <c r="AR96" s="15"/>
      <c r="AS96" s="16"/>
      <c r="AT96" s="11"/>
      <c r="AU96" s="11"/>
      <c r="AV96" s="11"/>
      <c r="AW96" s="11"/>
      <c r="AX96" s="11"/>
      <c r="AY96" s="16"/>
      <c r="AZ96" s="16"/>
      <c r="BA96" s="11"/>
      <c r="BB96" s="11"/>
      <c r="BC96" s="14"/>
      <c r="BD96" s="11"/>
      <c r="BE96" s="14"/>
      <c r="BF96" s="17"/>
      <c r="BG96" s="14"/>
      <c r="BH96" s="14"/>
      <c r="BI96" s="14"/>
      <c r="BJ96" s="14"/>
      <c r="BK96" s="18"/>
    </row>
    <row r="97" spans="1:63" ht="12.75">
      <c r="A97" s="11"/>
      <c r="B97" s="15"/>
      <c r="C97" s="15"/>
      <c r="D97" s="11"/>
      <c r="E97" s="12"/>
      <c r="F97" s="15"/>
      <c r="G97" s="15"/>
      <c r="H97" s="15"/>
      <c r="I97" s="15"/>
      <c r="J97" s="15"/>
      <c r="K97" s="11"/>
      <c r="L97" s="14"/>
      <c r="M97" s="14"/>
      <c r="N97" s="12"/>
      <c r="O97" s="15"/>
      <c r="P97" s="11"/>
      <c r="Q97" s="11"/>
      <c r="R97" s="14"/>
      <c r="S97" s="12"/>
      <c r="T97" s="15"/>
      <c r="U97" s="15"/>
      <c r="V97" s="11"/>
      <c r="W97" s="15"/>
      <c r="X97" s="15"/>
      <c r="Y97" s="15"/>
      <c r="Z97" s="15"/>
      <c r="AA97" s="15"/>
      <c r="AB97" s="14"/>
      <c r="AC97" s="14"/>
      <c r="AD97" s="11"/>
      <c r="AE97" s="11"/>
      <c r="AF97" s="15"/>
      <c r="AG97" s="15"/>
      <c r="AH97" s="11"/>
      <c r="AI97" s="15"/>
      <c r="AJ97" s="15"/>
      <c r="AK97" s="12"/>
      <c r="AL97" s="15"/>
      <c r="AM97" s="14"/>
      <c r="AN97" s="11"/>
      <c r="AO97" s="11"/>
      <c r="AP97" s="11"/>
      <c r="AQ97" s="15"/>
      <c r="AR97" s="15"/>
      <c r="AS97" s="16"/>
      <c r="AT97" s="11"/>
      <c r="AU97" s="11"/>
      <c r="AV97" s="11"/>
      <c r="AW97" s="11"/>
      <c r="AX97" s="11"/>
      <c r="AY97" s="16"/>
      <c r="AZ97" s="16"/>
      <c r="BA97" s="11"/>
      <c r="BB97" s="11"/>
      <c r="BC97" s="14"/>
      <c r="BD97" s="25"/>
      <c r="BE97" s="14"/>
      <c r="BF97" s="30"/>
      <c r="BG97" s="14"/>
      <c r="BH97" s="14"/>
      <c r="BI97" s="14"/>
      <c r="BJ97" s="14"/>
      <c r="BK97" s="18"/>
    </row>
    <row r="98" spans="1:63" ht="12.75">
      <c r="A98" s="11"/>
      <c r="B98" s="15"/>
      <c r="C98" s="15"/>
      <c r="D98" s="11"/>
      <c r="E98" s="12"/>
      <c r="F98" s="15"/>
      <c r="G98" s="15"/>
      <c r="H98" s="15"/>
      <c r="I98" s="15"/>
      <c r="J98" s="11"/>
      <c r="K98" s="11"/>
      <c r="L98" s="14"/>
      <c r="M98" s="15"/>
      <c r="N98" s="12"/>
      <c r="O98" s="15"/>
      <c r="P98" s="11"/>
      <c r="Q98" s="11"/>
      <c r="R98" s="14"/>
      <c r="S98" s="12"/>
      <c r="T98" s="15"/>
      <c r="U98" s="15"/>
      <c r="V98" s="11"/>
      <c r="W98" s="15"/>
      <c r="X98" s="15"/>
      <c r="Y98" s="15"/>
      <c r="Z98" s="15"/>
      <c r="AA98" s="15"/>
      <c r="AB98" s="14"/>
      <c r="AC98" s="14"/>
      <c r="AD98" s="11"/>
      <c r="AE98" s="11"/>
      <c r="AF98" s="15"/>
      <c r="AG98" s="15"/>
      <c r="AH98" s="11"/>
      <c r="AI98" s="15"/>
      <c r="AJ98" s="15"/>
      <c r="AK98" s="12"/>
      <c r="AL98" s="15"/>
      <c r="AM98" s="14"/>
      <c r="AN98" s="11"/>
      <c r="AO98" s="11"/>
      <c r="AP98" s="11"/>
      <c r="AQ98" s="15"/>
      <c r="AR98" s="15"/>
      <c r="AS98" s="16"/>
      <c r="AT98" s="11"/>
      <c r="AU98" s="11"/>
      <c r="AV98" s="11"/>
      <c r="AW98" s="11"/>
      <c r="AX98" s="11"/>
      <c r="AY98" s="16"/>
      <c r="AZ98" s="16"/>
      <c r="BA98" s="11"/>
      <c r="BB98" s="11"/>
      <c r="BC98" s="11"/>
      <c r="BD98" s="11"/>
      <c r="BE98" s="14"/>
      <c r="BF98" s="31"/>
      <c r="BG98" s="14"/>
      <c r="BH98" s="14"/>
      <c r="BI98" s="14"/>
      <c r="BJ98" s="14"/>
      <c r="BK98" s="18"/>
    </row>
    <row r="99" spans="1:63" ht="12.75">
      <c r="A99" s="14"/>
      <c r="B99" s="15"/>
      <c r="C99" s="15"/>
      <c r="D99" s="11"/>
      <c r="E99" s="12"/>
      <c r="F99" s="15"/>
      <c r="G99" s="15"/>
      <c r="H99" s="15"/>
      <c r="I99" s="15"/>
      <c r="J99" s="15"/>
      <c r="K99" s="11"/>
      <c r="L99" s="14"/>
      <c r="M99" s="15"/>
      <c r="N99" s="12"/>
      <c r="O99" s="15"/>
      <c r="P99" s="11"/>
      <c r="Q99" s="11"/>
      <c r="R99" s="14"/>
      <c r="S99" s="12"/>
      <c r="T99" s="15"/>
      <c r="U99" s="15"/>
      <c r="V99" s="11"/>
      <c r="W99" s="15"/>
      <c r="X99" s="15"/>
      <c r="Y99" s="15"/>
      <c r="Z99" s="15"/>
      <c r="AA99" s="15"/>
      <c r="AB99" s="14"/>
      <c r="AC99" s="14"/>
      <c r="AD99" s="11"/>
      <c r="AE99" s="11"/>
      <c r="AF99" s="11"/>
      <c r="AG99" s="15"/>
      <c r="AH99" s="11"/>
      <c r="AI99" s="15"/>
      <c r="AJ99" s="15"/>
      <c r="AK99" s="14"/>
      <c r="AL99" s="15"/>
      <c r="AM99" s="14"/>
      <c r="AN99" s="11"/>
      <c r="AO99" s="11"/>
      <c r="AP99" s="11"/>
      <c r="AQ99" s="15"/>
      <c r="AR99" s="15"/>
      <c r="AS99" s="16"/>
      <c r="AT99" s="11"/>
      <c r="AU99" s="11"/>
      <c r="AV99" s="11"/>
      <c r="AW99" s="11"/>
      <c r="AX99" s="11"/>
      <c r="AY99" s="16"/>
      <c r="AZ99" s="16"/>
      <c r="BA99" s="11"/>
      <c r="BB99" s="25"/>
      <c r="BC99" s="14"/>
      <c r="BD99" s="11"/>
      <c r="BE99" s="14"/>
      <c r="BF99" s="31"/>
      <c r="BG99" s="14"/>
      <c r="BH99" s="11"/>
      <c r="BI99" s="14"/>
      <c r="BJ99" s="22"/>
      <c r="BK99" s="23"/>
    </row>
    <row r="100" spans="1:63" ht="12.75">
      <c r="A100" s="11"/>
      <c r="B100" s="15"/>
      <c r="C100" s="13"/>
      <c r="D100" s="11"/>
      <c r="E100" s="12"/>
      <c r="F100" s="15"/>
      <c r="G100" s="15"/>
      <c r="H100" s="15"/>
      <c r="I100" s="11"/>
      <c r="J100" s="15"/>
      <c r="K100" s="11"/>
      <c r="L100" s="14"/>
      <c r="M100" s="11"/>
      <c r="N100" s="12"/>
      <c r="O100" s="11"/>
      <c r="P100" s="11"/>
      <c r="Q100" s="11"/>
      <c r="R100" s="14"/>
      <c r="S100" s="11"/>
      <c r="T100" s="15"/>
      <c r="U100" s="15"/>
      <c r="V100" s="11"/>
      <c r="W100" s="15"/>
      <c r="X100" s="15"/>
      <c r="Y100" s="15"/>
      <c r="Z100" s="15"/>
      <c r="AA100" s="15"/>
      <c r="AB100" s="14"/>
      <c r="AC100" s="14"/>
      <c r="AD100" s="11"/>
      <c r="AE100" s="11"/>
      <c r="AF100" s="15"/>
      <c r="AG100" s="15"/>
      <c r="AH100" s="11"/>
      <c r="AI100" s="15"/>
      <c r="AJ100" s="15"/>
      <c r="AK100" s="12"/>
      <c r="AL100" s="15"/>
      <c r="AM100" s="14"/>
      <c r="AN100" s="11"/>
      <c r="AO100" s="11"/>
      <c r="AP100" s="11"/>
      <c r="AQ100" s="15"/>
      <c r="AR100" s="15"/>
      <c r="AS100" s="16"/>
      <c r="AT100" s="11"/>
      <c r="AU100" s="11"/>
      <c r="AV100" s="11"/>
      <c r="AW100" s="11"/>
      <c r="AX100" s="11"/>
      <c r="AY100" s="16"/>
      <c r="AZ100" s="16"/>
      <c r="BA100" s="11"/>
      <c r="BB100" s="25"/>
      <c r="BC100" s="11"/>
      <c r="BD100" s="25"/>
      <c r="BE100" s="14"/>
      <c r="BF100" s="17"/>
      <c r="BG100" s="14"/>
      <c r="BH100" s="14"/>
      <c r="BI100" s="14"/>
      <c r="BJ100" s="14"/>
      <c r="BK100" s="18"/>
    </row>
    <row r="101" spans="1:63" ht="14.25" customHeight="1">
      <c r="A101" s="11"/>
      <c r="B101" s="15"/>
      <c r="C101" s="13"/>
      <c r="D101" s="11"/>
      <c r="E101" s="11"/>
      <c r="F101" s="11"/>
      <c r="G101" s="11"/>
      <c r="H101" s="15"/>
      <c r="I101" s="15"/>
      <c r="J101" s="11"/>
      <c r="K101" s="11"/>
      <c r="L101" s="11"/>
      <c r="M101" s="11"/>
      <c r="N101" s="11"/>
      <c r="O101" s="11"/>
      <c r="P101" s="11"/>
      <c r="Q101" s="11"/>
      <c r="R101" s="11"/>
      <c r="S101" s="12"/>
      <c r="T101" s="11"/>
      <c r="U101" s="15"/>
      <c r="V101" s="11"/>
      <c r="W101" s="15"/>
      <c r="X101" s="15"/>
      <c r="Y101" s="15"/>
      <c r="Z101" s="15"/>
      <c r="AA101" s="15"/>
      <c r="AB101" s="14"/>
      <c r="AC101" s="14"/>
      <c r="AD101" s="11"/>
      <c r="AE101" s="11"/>
      <c r="AF101" s="15"/>
      <c r="AG101" s="15"/>
      <c r="AH101" s="11"/>
      <c r="AI101" s="11"/>
      <c r="AJ101" s="11"/>
      <c r="AK101" s="11"/>
      <c r="AL101" s="11"/>
      <c r="AM101" s="14"/>
      <c r="AN101" s="11"/>
      <c r="AO101" s="11"/>
      <c r="AP101" s="11"/>
      <c r="AQ101" s="15"/>
      <c r="AR101" s="15"/>
      <c r="AS101" s="16"/>
      <c r="AT101" s="11"/>
      <c r="AU101" s="11"/>
      <c r="AV101" s="11"/>
      <c r="AW101" s="11"/>
      <c r="AX101" s="11"/>
      <c r="AY101" s="16"/>
      <c r="AZ101" s="16"/>
      <c r="BA101" s="11"/>
      <c r="BB101" s="25"/>
      <c r="BC101" s="11"/>
      <c r="BD101" s="25"/>
      <c r="BE101" s="14"/>
      <c r="BF101" s="17"/>
      <c r="BG101" s="14"/>
      <c r="BH101" s="14"/>
      <c r="BI101" s="14"/>
      <c r="BJ101" s="14"/>
      <c r="BK101" s="18"/>
    </row>
    <row r="102" spans="1:63" ht="12.75">
      <c r="A102" s="11"/>
      <c r="B102" s="15"/>
      <c r="C102" s="13"/>
      <c r="D102" s="11"/>
      <c r="E102" s="15"/>
      <c r="F102" s="15"/>
      <c r="G102" s="15"/>
      <c r="H102" s="15"/>
      <c r="I102" s="15"/>
      <c r="J102" s="15"/>
      <c r="K102" s="11"/>
      <c r="L102" s="14"/>
      <c r="M102" s="15"/>
      <c r="N102" s="12"/>
      <c r="O102" s="15"/>
      <c r="P102" s="11"/>
      <c r="Q102" s="11"/>
      <c r="R102" s="14"/>
      <c r="S102" s="11"/>
      <c r="T102" s="11"/>
      <c r="U102" s="11"/>
      <c r="V102" s="11"/>
      <c r="W102" s="15"/>
      <c r="X102" s="15"/>
      <c r="Y102" s="15"/>
      <c r="Z102" s="15"/>
      <c r="AA102" s="15"/>
      <c r="AB102" s="14"/>
      <c r="AC102" s="14"/>
      <c r="AD102" s="11"/>
      <c r="AE102" s="11"/>
      <c r="AF102" s="15"/>
      <c r="AG102" s="15"/>
      <c r="AH102" s="11"/>
      <c r="AI102" s="15"/>
      <c r="AJ102" s="15"/>
      <c r="AK102" s="12"/>
      <c r="AL102" s="15"/>
      <c r="AM102" s="14"/>
      <c r="AN102" s="11"/>
      <c r="AO102" s="11"/>
      <c r="AP102" s="14"/>
      <c r="AQ102" s="15"/>
      <c r="AR102" s="15"/>
      <c r="AS102" s="16"/>
      <c r="AT102" s="11"/>
      <c r="AU102" s="11"/>
      <c r="AV102" s="11"/>
      <c r="AW102" s="11"/>
      <c r="AX102" s="11"/>
      <c r="AY102" s="16"/>
      <c r="AZ102" s="16"/>
      <c r="BA102" s="11"/>
      <c r="BB102" s="25"/>
      <c r="BC102" s="11"/>
      <c r="BD102" s="11"/>
      <c r="BE102" s="11"/>
      <c r="BF102" s="31"/>
      <c r="BG102" s="14"/>
      <c r="BH102" s="14"/>
      <c r="BI102" s="19"/>
      <c r="BJ102" s="14"/>
      <c r="BK102" s="18"/>
    </row>
    <row r="103" spans="1:63" ht="12.75">
      <c r="A103" s="11"/>
      <c r="B103" s="15"/>
      <c r="C103" s="15"/>
      <c r="D103" s="11"/>
      <c r="E103" s="12"/>
      <c r="F103" s="15"/>
      <c r="G103" s="11"/>
      <c r="H103" s="11"/>
      <c r="I103" s="11"/>
      <c r="J103" s="1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24"/>
      <c r="BG103" s="11"/>
      <c r="BH103" s="11"/>
      <c r="BI103" s="11"/>
      <c r="BJ103" s="11"/>
    </row>
    <row r="104" spans="1:63" ht="12.75">
      <c r="A104" s="14"/>
      <c r="B104" s="15"/>
      <c r="C104" s="15"/>
      <c r="D104" s="11"/>
      <c r="E104" s="12"/>
      <c r="F104" s="15"/>
      <c r="G104" s="15"/>
      <c r="H104" s="15"/>
      <c r="I104" s="15"/>
      <c r="J104" s="15"/>
      <c r="K104" s="11"/>
      <c r="L104" s="14"/>
      <c r="M104" s="15"/>
      <c r="N104" s="12"/>
      <c r="O104" s="15"/>
      <c r="P104" s="11"/>
      <c r="Q104" s="11"/>
      <c r="R104" s="11"/>
      <c r="S104" s="12"/>
      <c r="T104" s="15"/>
      <c r="U104" s="15"/>
      <c r="V104" s="11"/>
      <c r="W104" s="15"/>
      <c r="X104" s="15"/>
      <c r="Y104" s="15"/>
      <c r="Z104" s="15"/>
      <c r="AA104" s="11"/>
      <c r="AB104" s="14"/>
      <c r="AC104" s="11"/>
      <c r="AD104" s="11"/>
      <c r="AE104" s="11"/>
      <c r="AF104" s="11"/>
      <c r="AG104" s="15"/>
      <c r="AH104" s="11"/>
      <c r="AI104" s="15"/>
      <c r="AJ104" s="15"/>
      <c r="AK104" s="14"/>
      <c r="AL104" s="11"/>
      <c r="AM104" s="14"/>
      <c r="AN104" s="11"/>
      <c r="AO104" s="11"/>
      <c r="AP104" s="11"/>
      <c r="AQ104" s="15"/>
      <c r="AR104" s="15"/>
      <c r="AS104" s="16"/>
      <c r="AT104" s="11"/>
      <c r="AU104" s="11"/>
      <c r="AV104" s="11"/>
      <c r="AW104" s="11"/>
      <c r="AX104" s="11"/>
      <c r="AY104" s="16"/>
      <c r="AZ104" s="16"/>
      <c r="BA104" s="11"/>
      <c r="BB104" s="11"/>
      <c r="BC104" s="14"/>
      <c r="BD104" s="11"/>
      <c r="BE104" s="14"/>
      <c r="BF104" s="17"/>
      <c r="BG104" s="14"/>
      <c r="BH104" s="14"/>
      <c r="BI104" s="14"/>
      <c r="BJ104" s="22"/>
      <c r="BK104" s="23"/>
    </row>
    <row r="105" spans="1:63" ht="12.75">
      <c r="A105" s="11"/>
      <c r="B105" s="15"/>
      <c r="C105" s="13"/>
      <c r="D105" s="11"/>
      <c r="E105" s="11"/>
      <c r="F105" s="11"/>
      <c r="G105" s="11"/>
      <c r="H105" s="15"/>
      <c r="I105" s="15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5"/>
      <c r="AJ105" s="15"/>
      <c r="AK105" s="14"/>
      <c r="AL105" s="15"/>
      <c r="AM105" s="14"/>
      <c r="AN105" s="11"/>
      <c r="AO105" s="11"/>
      <c r="AP105" s="11"/>
      <c r="AQ105" s="15"/>
      <c r="AR105" s="15"/>
      <c r="AS105" s="16"/>
      <c r="AT105" s="11"/>
      <c r="AU105" s="11"/>
      <c r="AV105" s="11"/>
      <c r="AW105" s="11"/>
      <c r="AX105" s="11"/>
      <c r="AY105" s="16"/>
      <c r="AZ105" s="16"/>
      <c r="BA105" s="11"/>
      <c r="BB105" s="11"/>
      <c r="BC105" s="11"/>
      <c r="BD105" s="11"/>
      <c r="BE105" s="14"/>
      <c r="BF105" s="31"/>
      <c r="BG105" s="14"/>
      <c r="BH105" s="14"/>
      <c r="BI105" s="14"/>
      <c r="BJ105" s="14"/>
      <c r="BK105" s="18"/>
    </row>
    <row r="106" spans="1:63" ht="12.75">
      <c r="A106" s="32"/>
      <c r="B106" s="15"/>
      <c r="C106" s="33"/>
      <c r="D106" s="32"/>
      <c r="E106" s="34"/>
      <c r="F106" s="33"/>
      <c r="G106" s="33"/>
      <c r="H106" s="33"/>
      <c r="I106" s="33"/>
      <c r="J106" s="33"/>
      <c r="K106" s="32"/>
      <c r="L106" s="35"/>
      <c r="M106" s="33"/>
      <c r="N106" s="34"/>
      <c r="O106" s="33"/>
      <c r="P106" s="32"/>
      <c r="Q106" s="32"/>
      <c r="R106" s="35"/>
      <c r="S106" s="34"/>
      <c r="T106" s="33"/>
      <c r="U106" s="33"/>
      <c r="V106" s="32"/>
      <c r="W106" s="33"/>
      <c r="X106" s="33"/>
      <c r="Y106" s="33"/>
      <c r="Z106" s="33"/>
      <c r="AA106" s="33"/>
      <c r="AB106" s="35"/>
      <c r="AC106" s="35"/>
      <c r="AD106" s="32"/>
      <c r="AE106" s="32"/>
      <c r="AF106" s="32"/>
      <c r="AG106" s="32"/>
      <c r="AH106" s="32"/>
      <c r="AI106" s="33"/>
      <c r="AJ106" s="33"/>
      <c r="AK106" s="35"/>
      <c r="AL106" s="33"/>
      <c r="AM106" s="35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6"/>
      <c r="AZ106" s="36"/>
      <c r="BA106" s="32"/>
      <c r="BB106" s="32"/>
      <c r="BC106" s="32"/>
      <c r="BD106" s="32"/>
      <c r="BE106" s="35"/>
      <c r="BF106" s="37"/>
      <c r="BG106" s="14"/>
      <c r="BH106" s="14"/>
      <c r="BI106" s="14"/>
      <c r="BJ106" s="14"/>
      <c r="BK106" s="18"/>
    </row>
    <row r="107" spans="1:63" ht="12.75">
      <c r="A107" s="32"/>
      <c r="B107" s="15"/>
      <c r="C107" s="33"/>
      <c r="D107" s="32"/>
      <c r="E107" s="34"/>
      <c r="F107" s="33"/>
      <c r="G107" s="33"/>
      <c r="H107" s="33"/>
      <c r="I107" s="33"/>
      <c r="J107" s="32"/>
      <c r="K107" s="32"/>
      <c r="L107" s="35"/>
      <c r="M107" s="33"/>
      <c r="N107" s="32"/>
      <c r="O107" s="33"/>
      <c r="P107" s="32"/>
      <c r="Q107" s="32"/>
      <c r="R107" s="35"/>
      <c r="S107" s="32"/>
      <c r="T107" s="32"/>
      <c r="U107" s="32"/>
      <c r="V107" s="32"/>
      <c r="W107" s="32"/>
      <c r="X107" s="32"/>
      <c r="Y107" s="33"/>
      <c r="Z107" s="33"/>
      <c r="AA107" s="33"/>
      <c r="AB107" s="35"/>
      <c r="AC107" s="32"/>
      <c r="AD107" s="32"/>
      <c r="AE107" s="32"/>
      <c r="AF107" s="32"/>
      <c r="AG107" s="33"/>
      <c r="AH107" s="32"/>
      <c r="AI107" s="33"/>
      <c r="AJ107" s="33"/>
      <c r="AK107" s="35"/>
      <c r="AL107" s="33"/>
      <c r="AM107" s="35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6"/>
      <c r="AZ107" s="36"/>
      <c r="BA107" s="32"/>
      <c r="BB107" s="32"/>
      <c r="BC107" s="35"/>
      <c r="BD107" s="32"/>
      <c r="BE107" s="35"/>
      <c r="BF107" s="35"/>
      <c r="BG107" s="32"/>
      <c r="BH107" s="35"/>
      <c r="BI107" s="35"/>
      <c r="BJ107" s="35"/>
      <c r="BK107" s="18"/>
    </row>
    <row r="108" spans="1:63" ht="12.75">
      <c r="A108" s="32"/>
      <c r="B108" s="15"/>
      <c r="C108" s="38"/>
      <c r="D108" s="32"/>
      <c r="E108" s="32"/>
      <c r="F108" s="32"/>
      <c r="G108" s="32"/>
      <c r="H108" s="33"/>
      <c r="I108" s="33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3"/>
      <c r="AJ108" s="33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6"/>
      <c r="AZ108" s="36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</row>
    <row r="109" spans="1:63" ht="12.75">
      <c r="A109" s="11"/>
      <c r="B109" s="15"/>
      <c r="C109" s="13"/>
      <c r="D109" s="11"/>
      <c r="E109" s="11"/>
      <c r="F109" s="11"/>
      <c r="G109" s="11"/>
      <c r="H109" s="15"/>
      <c r="I109" s="15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</row>
    <row r="110" spans="1:63" ht="12.75">
      <c r="B110" s="2"/>
      <c r="C110" s="8"/>
      <c r="H110" s="2"/>
      <c r="I110" s="2"/>
    </row>
    <row r="111" spans="1:63" ht="12.75">
      <c r="B111" s="2"/>
      <c r="C111" s="8"/>
      <c r="H111" s="2"/>
      <c r="I111" s="2"/>
    </row>
    <row r="112" spans="1:63" ht="12.75">
      <c r="A112" s="27"/>
      <c r="B112" s="2"/>
      <c r="C112" s="8"/>
      <c r="H112" s="2"/>
      <c r="I112" s="2"/>
    </row>
    <row r="113" spans="1:9" ht="12.75">
      <c r="A113" s="27"/>
      <c r="B113" s="2"/>
      <c r="C113" s="8"/>
      <c r="H113" s="2"/>
      <c r="I113" s="2"/>
    </row>
    <row r="114" spans="1:9" ht="12.75">
      <c r="A114" s="27"/>
      <c r="B114" s="2"/>
      <c r="C114" s="8"/>
      <c r="H114" s="2"/>
      <c r="I114" s="2"/>
    </row>
    <row r="115" spans="1:9" ht="12.75">
      <c r="A115" s="27"/>
      <c r="B115" s="2"/>
      <c r="C115" s="8"/>
      <c r="H115" s="2"/>
      <c r="I115" s="2"/>
    </row>
    <row r="116" spans="1:9" ht="12.75">
      <c r="A116" s="27"/>
      <c r="B116" s="2"/>
      <c r="C116" s="8"/>
      <c r="H116" s="2"/>
      <c r="I116" s="2"/>
    </row>
    <row r="117" spans="1:9" ht="12.75">
      <c r="A117" s="27"/>
      <c r="B117" s="2"/>
      <c r="C117" s="8"/>
      <c r="H117" s="2"/>
      <c r="I117" s="2"/>
    </row>
    <row r="118" spans="1:9" ht="12.75">
      <c r="A118" s="27"/>
      <c r="B118" s="2"/>
      <c r="C118" s="8"/>
      <c r="H118" s="2"/>
      <c r="I1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workbookViewId="0"/>
  </sheetViews>
  <sheetFormatPr defaultColWidth="12.5703125" defaultRowHeight="15.75" customHeight="1"/>
  <sheetData>
    <row r="1" spans="1:26">
      <c r="A1" s="18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8" t="s">
        <v>47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>
      <c r="A5" s="18" t="s">
        <v>48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18" t="s">
        <v>49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18" t="s">
        <v>50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18" t="s">
        <v>51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18" t="s">
        <v>52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18" t="s">
        <v>53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18" t="s">
        <v>54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18" t="s">
        <v>55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A20" s="18"/>
      <c r="B20" s="18"/>
      <c r="C20" s="18"/>
      <c r="D20" s="18" t="s">
        <v>56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>
      <c r="A21" s="18" t="s">
        <v>57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>
      <c r="A23" s="18" t="s">
        <v>58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>
      <c r="A25" s="18" t="s">
        <v>59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>
      <c r="A27" s="18" t="s">
        <v>60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7"/>
  <sheetViews>
    <sheetView tabSelected="1" workbookViewId="0">
      <pane ySplit="1" topLeftCell="A4" activePane="bottomLeft" state="frozen"/>
      <selection pane="bottomLeft" activeCell="G21" sqref="G21"/>
    </sheetView>
  </sheetViews>
  <sheetFormatPr defaultColWidth="12.5703125" defaultRowHeight="15.75" customHeight="1"/>
  <cols>
    <col min="2" max="2" width="19" customWidth="1"/>
    <col min="5" max="5" width="41.140625" customWidth="1"/>
    <col min="6" max="6" width="17.42578125" customWidth="1"/>
  </cols>
  <sheetData>
    <row r="1" spans="1:25">
      <c r="A1" s="39" t="s">
        <v>61</v>
      </c>
      <c r="B1" s="39" t="s">
        <v>62</v>
      </c>
      <c r="C1" s="39" t="s">
        <v>63</v>
      </c>
      <c r="D1" s="39" t="s">
        <v>64</v>
      </c>
      <c r="E1" s="40" t="s">
        <v>65</v>
      </c>
      <c r="F1" s="40" t="s">
        <v>66</v>
      </c>
      <c r="G1" s="18" t="s">
        <v>200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>
      <c r="A2" s="39">
        <v>1</v>
      </c>
      <c r="B2" s="42">
        <v>46185</v>
      </c>
      <c r="C2" s="39" t="s">
        <v>67</v>
      </c>
      <c r="D2" s="43">
        <v>2.0833333333333332E-2</v>
      </c>
      <c r="E2" s="40" t="s">
        <v>68</v>
      </c>
      <c r="F2" s="40" t="s">
        <v>69</v>
      </c>
      <c r="G2" s="18" t="s">
        <v>201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>
      <c r="A3" s="39">
        <v>2</v>
      </c>
      <c r="B3" s="42">
        <v>46185</v>
      </c>
      <c r="C3" s="39" t="s">
        <v>67</v>
      </c>
      <c r="D3" s="43">
        <v>0.3125</v>
      </c>
      <c r="E3" s="40" t="s">
        <v>70</v>
      </c>
      <c r="F3" s="40" t="s">
        <v>71</v>
      </c>
      <c r="G3" s="18" t="s">
        <v>208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>
      <c r="A4" s="39">
        <v>3</v>
      </c>
      <c r="B4" s="42">
        <v>46186</v>
      </c>
      <c r="C4" s="39" t="s">
        <v>72</v>
      </c>
      <c r="D4" s="43">
        <v>2.0833333333333332E-2</v>
      </c>
      <c r="E4" s="40" t="s">
        <v>73</v>
      </c>
      <c r="F4" s="40" t="s">
        <v>74</v>
      </c>
      <c r="G4" s="18" t="s">
        <v>210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>
      <c r="A5" s="39">
        <v>4</v>
      </c>
      <c r="B5" s="42">
        <v>46186</v>
      </c>
      <c r="C5" s="39" t="s">
        <v>72</v>
      </c>
      <c r="D5" s="43">
        <v>0.27083333333333331</v>
      </c>
      <c r="E5" s="40" t="s">
        <v>75</v>
      </c>
      <c r="F5" s="40" t="s">
        <v>76</v>
      </c>
      <c r="G5" s="18" t="s">
        <v>202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>
      <c r="A6" s="39">
        <v>5</v>
      </c>
      <c r="B6" s="42">
        <v>46187</v>
      </c>
      <c r="C6" s="39" t="s">
        <v>77</v>
      </c>
      <c r="D6" s="43">
        <v>2.0833333333333332E-2</v>
      </c>
      <c r="E6" s="40" t="s">
        <v>78</v>
      </c>
      <c r="F6" s="40" t="s">
        <v>79</v>
      </c>
      <c r="G6" s="18" t="s">
        <v>210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>
      <c r="A7" s="39">
        <v>6</v>
      </c>
      <c r="B7" s="42">
        <v>46187</v>
      </c>
      <c r="C7" s="39" t="s">
        <v>77</v>
      </c>
      <c r="D7" s="43">
        <v>0.14583333333333334</v>
      </c>
      <c r="E7" s="40" t="s">
        <v>80</v>
      </c>
      <c r="F7" s="40" t="s">
        <v>81</v>
      </c>
      <c r="G7" s="18" t="s">
        <v>210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>
      <c r="A8" s="39">
        <v>7</v>
      </c>
      <c r="B8" s="42">
        <v>46187</v>
      </c>
      <c r="C8" s="39" t="s">
        <v>77</v>
      </c>
      <c r="D8" s="43">
        <v>0.27083333333333331</v>
      </c>
      <c r="E8" s="40" t="s">
        <v>82</v>
      </c>
      <c r="F8" s="40" t="s">
        <v>83</v>
      </c>
      <c r="G8" s="18" t="s">
        <v>211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>
      <c r="A9" s="39">
        <v>8</v>
      </c>
      <c r="B9" s="42">
        <v>46187</v>
      </c>
      <c r="C9" s="39" t="s">
        <v>77</v>
      </c>
      <c r="D9" s="43">
        <v>0.39583333333333331</v>
      </c>
      <c r="E9" s="40" t="s">
        <v>84</v>
      </c>
      <c r="F9" s="40" t="s">
        <v>85</v>
      </c>
      <c r="G9" s="18" t="s">
        <v>203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>
      <c r="A10" s="39">
        <v>9</v>
      </c>
      <c r="B10" s="42">
        <v>46187</v>
      </c>
      <c r="C10" s="39" t="s">
        <v>77</v>
      </c>
      <c r="D10" s="43">
        <v>0.9375</v>
      </c>
      <c r="E10" s="40" t="s">
        <v>86</v>
      </c>
      <c r="F10" s="40" t="s">
        <v>87</v>
      </c>
      <c r="G10" s="18" t="s">
        <v>204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>
      <c r="A11" s="39">
        <v>10</v>
      </c>
      <c r="B11" s="42">
        <v>46188</v>
      </c>
      <c r="C11" s="39" t="s">
        <v>88</v>
      </c>
      <c r="D11" s="43">
        <v>6.25E-2</v>
      </c>
      <c r="E11" s="40" t="s">
        <v>89</v>
      </c>
      <c r="F11" s="40" t="s">
        <v>90</v>
      </c>
      <c r="G11" s="18" t="s">
        <v>210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>
      <c r="A12" s="39">
        <v>11</v>
      </c>
      <c r="B12" s="42">
        <v>46188</v>
      </c>
      <c r="C12" s="39" t="s">
        <v>88</v>
      </c>
      <c r="D12" s="43">
        <v>0.1875</v>
      </c>
      <c r="E12" s="40" t="s">
        <v>91</v>
      </c>
      <c r="F12" s="40" t="s">
        <v>92</v>
      </c>
      <c r="G12" s="18" t="s">
        <v>209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>
      <c r="A13" s="39">
        <v>12</v>
      </c>
      <c r="B13" s="42">
        <v>46188</v>
      </c>
      <c r="C13" s="39" t="s">
        <v>88</v>
      </c>
      <c r="D13" s="43">
        <v>0.3125</v>
      </c>
      <c r="E13" s="40" t="s">
        <v>93</v>
      </c>
      <c r="F13" s="40" t="s">
        <v>94</v>
      </c>
      <c r="G13" s="18" t="s">
        <v>205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>
      <c r="A14" s="39">
        <v>13</v>
      </c>
      <c r="B14" s="42">
        <v>46188</v>
      </c>
      <c r="C14" s="39" t="s">
        <v>88</v>
      </c>
      <c r="D14" s="43">
        <v>0.89583333333333337</v>
      </c>
      <c r="E14" s="40" t="s">
        <v>95</v>
      </c>
      <c r="F14" s="40" t="s">
        <v>96</v>
      </c>
      <c r="G14" s="18" t="s">
        <v>210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>
      <c r="A15" s="39">
        <v>14</v>
      </c>
      <c r="B15" s="42">
        <v>46189</v>
      </c>
      <c r="C15" s="39" t="s">
        <v>97</v>
      </c>
      <c r="D15" s="43">
        <v>2.0833333333333332E-2</v>
      </c>
      <c r="E15" s="40" t="s">
        <v>98</v>
      </c>
      <c r="F15" s="40" t="s">
        <v>99</v>
      </c>
      <c r="G15" s="18" t="s">
        <v>210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>
      <c r="A16" s="39">
        <v>15</v>
      </c>
      <c r="B16" s="42">
        <v>46189</v>
      </c>
      <c r="C16" s="39" t="s">
        <v>97</v>
      </c>
      <c r="D16" s="43">
        <v>0.14583333333333334</v>
      </c>
      <c r="E16" s="40" t="s">
        <v>100</v>
      </c>
      <c r="F16" s="40" t="s">
        <v>101</v>
      </c>
      <c r="G16" s="18" t="s">
        <v>210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>
      <c r="A17" s="39">
        <v>16</v>
      </c>
      <c r="B17" s="42">
        <v>46189</v>
      </c>
      <c r="C17" s="39" t="s">
        <v>97</v>
      </c>
      <c r="D17" s="43">
        <v>0.27083333333333331</v>
      </c>
      <c r="E17" s="40" t="s">
        <v>102</v>
      </c>
      <c r="F17" s="40" t="s">
        <v>76</v>
      </c>
      <c r="G17" s="18" t="s">
        <v>210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>
      <c r="A18" s="39">
        <v>17</v>
      </c>
      <c r="B18" s="42">
        <v>46190</v>
      </c>
      <c r="C18" s="39" t="s">
        <v>103</v>
      </c>
      <c r="D18" s="43">
        <v>2.0833333333333332E-2</v>
      </c>
      <c r="E18" s="40" t="s">
        <v>104</v>
      </c>
      <c r="F18" s="40" t="s">
        <v>81</v>
      </c>
      <c r="G18" s="18" t="s">
        <v>206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>
      <c r="A19" s="39">
        <v>18</v>
      </c>
      <c r="B19" s="42">
        <v>46190</v>
      </c>
      <c r="C19" s="39" t="s">
        <v>103</v>
      </c>
      <c r="D19" s="43">
        <v>0.14583333333333334</v>
      </c>
      <c r="E19" s="40" t="s">
        <v>105</v>
      </c>
      <c r="F19" s="40" t="s">
        <v>83</v>
      </c>
      <c r="G19" s="18" t="s">
        <v>212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25">
      <c r="A20" s="39">
        <v>19</v>
      </c>
      <c r="B20" s="42">
        <v>46190</v>
      </c>
      <c r="C20" s="39" t="s">
        <v>103</v>
      </c>
      <c r="D20" s="43">
        <v>0.27083333333333331</v>
      </c>
      <c r="E20" s="40" t="s">
        <v>106</v>
      </c>
      <c r="F20" s="40" t="s">
        <v>107</v>
      </c>
      <c r="G20" s="18" t="s">
        <v>207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>
      <c r="A21" s="39">
        <v>20</v>
      </c>
      <c r="B21" s="42">
        <v>46190</v>
      </c>
      <c r="C21" s="39" t="s">
        <v>103</v>
      </c>
      <c r="D21" s="43">
        <v>0.39583333333333331</v>
      </c>
      <c r="E21" s="40" t="s">
        <v>108</v>
      </c>
      <c r="F21" s="40" t="s">
        <v>79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>
      <c r="A22" s="39">
        <v>21</v>
      </c>
      <c r="B22" s="42">
        <v>46190</v>
      </c>
      <c r="C22" s="39" t="s">
        <v>103</v>
      </c>
      <c r="D22" s="43">
        <v>0.9375</v>
      </c>
      <c r="E22" s="40" t="s">
        <v>109</v>
      </c>
      <c r="F22" s="40" t="s">
        <v>87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>
      <c r="A23" s="39">
        <v>22</v>
      </c>
      <c r="B23" s="42">
        <v>46191</v>
      </c>
      <c r="C23" s="39" t="s">
        <v>110</v>
      </c>
      <c r="D23" s="43">
        <v>6.25E-2</v>
      </c>
      <c r="E23" s="40" t="s">
        <v>111</v>
      </c>
      <c r="F23" s="40" t="s">
        <v>90</v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>
      <c r="A24" s="39">
        <v>23</v>
      </c>
      <c r="B24" s="42">
        <v>46191</v>
      </c>
      <c r="C24" s="39" t="s">
        <v>110</v>
      </c>
      <c r="D24" s="43">
        <v>0.1875</v>
      </c>
      <c r="E24" s="40" t="s">
        <v>112</v>
      </c>
      <c r="F24" s="40" t="s">
        <v>74</v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>
      <c r="A25" s="39">
        <v>24</v>
      </c>
      <c r="B25" s="42">
        <v>46191</v>
      </c>
      <c r="C25" s="39" t="s">
        <v>110</v>
      </c>
      <c r="D25" s="43">
        <v>0.3125</v>
      </c>
      <c r="E25" s="40" t="s">
        <v>113</v>
      </c>
      <c r="F25" s="40" t="s">
        <v>69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>
      <c r="A26" s="39">
        <v>25</v>
      </c>
      <c r="B26" s="42">
        <v>46191</v>
      </c>
      <c r="C26" s="39" t="s">
        <v>110</v>
      </c>
      <c r="D26" s="43">
        <v>0.89583333333333337</v>
      </c>
      <c r="E26" s="40" t="s">
        <v>114</v>
      </c>
      <c r="F26" s="40" t="s">
        <v>96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>
      <c r="A27" s="39">
        <v>26</v>
      </c>
      <c r="B27" s="42">
        <v>46192</v>
      </c>
      <c r="C27" s="39" t="s">
        <v>67</v>
      </c>
      <c r="D27" s="43">
        <v>2.0833333333333332E-2</v>
      </c>
      <c r="E27" s="40" t="s">
        <v>115</v>
      </c>
      <c r="F27" s="40" t="s">
        <v>76</v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>
      <c r="A28" s="39">
        <v>27</v>
      </c>
      <c r="B28" s="42">
        <v>46192</v>
      </c>
      <c r="C28" s="39" t="s">
        <v>67</v>
      </c>
      <c r="D28" s="43">
        <v>0.14583333333333334</v>
      </c>
      <c r="E28" s="40" t="s">
        <v>116</v>
      </c>
      <c r="F28" s="40" t="s">
        <v>85</v>
      </c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>
      <c r="A29" s="39">
        <v>28</v>
      </c>
      <c r="B29" s="42">
        <v>46192</v>
      </c>
      <c r="C29" s="39" t="s">
        <v>67</v>
      </c>
      <c r="D29" s="43">
        <v>0.27083333333333331</v>
      </c>
      <c r="E29" s="40" t="s">
        <v>117</v>
      </c>
      <c r="F29" s="40" t="s">
        <v>71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>
      <c r="A30" s="39">
        <v>29</v>
      </c>
      <c r="B30" s="42">
        <v>46193</v>
      </c>
      <c r="C30" s="39" t="s">
        <v>72</v>
      </c>
      <c r="D30" s="43">
        <v>2.0833333333333332E-2</v>
      </c>
      <c r="E30" s="40" t="s">
        <v>118</v>
      </c>
      <c r="F30" s="40" t="s">
        <v>99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>
      <c r="A31" s="39">
        <v>30</v>
      </c>
      <c r="B31" s="42">
        <v>46193</v>
      </c>
      <c r="C31" s="39" t="s">
        <v>72</v>
      </c>
      <c r="D31" s="43">
        <v>0.14583333333333334</v>
      </c>
      <c r="E31" s="40" t="s">
        <v>119</v>
      </c>
      <c r="F31" s="40" t="s">
        <v>83</v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>
      <c r="A32" s="39">
        <v>31</v>
      </c>
      <c r="B32" s="42">
        <v>46193</v>
      </c>
      <c r="C32" s="39" t="s">
        <v>72</v>
      </c>
      <c r="D32" s="43">
        <v>0.25</v>
      </c>
      <c r="E32" s="40" t="s">
        <v>120</v>
      </c>
      <c r="F32" s="40" t="s">
        <v>92</v>
      </c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>
      <c r="A33" s="39">
        <v>32</v>
      </c>
      <c r="B33" s="42">
        <v>46193</v>
      </c>
      <c r="C33" s="39" t="s">
        <v>72</v>
      </c>
      <c r="D33" s="43">
        <v>0.35416666666666669</v>
      </c>
      <c r="E33" s="40" t="s">
        <v>121</v>
      </c>
      <c r="F33" s="40" t="s">
        <v>79</v>
      </c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39">
        <v>33</v>
      </c>
      <c r="B34" s="42">
        <v>46193</v>
      </c>
      <c r="C34" s="39" t="s">
        <v>72</v>
      </c>
      <c r="D34" s="43">
        <v>0.9375</v>
      </c>
      <c r="E34" s="40" t="s">
        <v>122</v>
      </c>
      <c r="F34" s="40" t="s">
        <v>87</v>
      </c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>
      <c r="A35" s="39">
        <v>34</v>
      </c>
      <c r="B35" s="42">
        <v>46194</v>
      </c>
      <c r="C35" s="39" t="s">
        <v>77</v>
      </c>
      <c r="D35" s="43">
        <v>6.25E-2</v>
      </c>
      <c r="E35" s="40" t="s">
        <v>123</v>
      </c>
      <c r="F35" s="40" t="s">
        <v>74</v>
      </c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>
      <c r="A36" s="39">
        <v>35</v>
      </c>
      <c r="B36" s="42">
        <v>46194</v>
      </c>
      <c r="C36" s="39" t="s">
        <v>77</v>
      </c>
      <c r="D36" s="43">
        <v>0.22916666666666666</v>
      </c>
      <c r="E36" s="40" t="s">
        <v>124</v>
      </c>
      <c r="F36" s="40" t="s">
        <v>107</v>
      </c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39">
        <v>36</v>
      </c>
      <c r="B37" s="42">
        <v>46194</v>
      </c>
      <c r="C37" s="39" t="s">
        <v>77</v>
      </c>
      <c r="D37" s="43">
        <v>0.39583333333333331</v>
      </c>
      <c r="E37" s="40" t="s">
        <v>125</v>
      </c>
      <c r="F37" s="40" t="s">
        <v>94</v>
      </c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39">
        <v>37</v>
      </c>
      <c r="B38" s="42">
        <v>46194</v>
      </c>
      <c r="C38" s="39" t="s">
        <v>77</v>
      </c>
      <c r="D38" s="43">
        <v>0.89583333333333337</v>
      </c>
      <c r="E38" s="40" t="s">
        <v>126</v>
      </c>
      <c r="F38" s="40" t="s">
        <v>96</v>
      </c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39">
        <v>38</v>
      </c>
      <c r="B39" s="42">
        <v>46195</v>
      </c>
      <c r="C39" s="39" t="s">
        <v>88</v>
      </c>
      <c r="D39" s="43">
        <v>2.0833333333333332E-2</v>
      </c>
      <c r="E39" s="40" t="s">
        <v>127</v>
      </c>
      <c r="F39" s="40" t="s">
        <v>76</v>
      </c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39">
        <v>39</v>
      </c>
      <c r="B40" s="42">
        <v>46195</v>
      </c>
      <c r="C40" s="39" t="s">
        <v>88</v>
      </c>
      <c r="D40" s="43">
        <v>0.14583333333333334</v>
      </c>
      <c r="E40" s="40" t="s">
        <v>128</v>
      </c>
      <c r="F40" s="40" t="s">
        <v>101</v>
      </c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39">
        <v>40</v>
      </c>
      <c r="B41" s="42">
        <v>46195</v>
      </c>
      <c r="C41" s="39" t="s">
        <v>88</v>
      </c>
      <c r="D41" s="43">
        <v>0.27083333333333331</v>
      </c>
      <c r="E41" s="40" t="s">
        <v>129</v>
      </c>
      <c r="F41" s="40" t="s">
        <v>85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39">
        <v>41</v>
      </c>
      <c r="B42" s="42">
        <v>46195</v>
      </c>
      <c r="C42" s="39" t="s">
        <v>88</v>
      </c>
      <c r="D42" s="43">
        <v>0.9375</v>
      </c>
      <c r="E42" s="40" t="s">
        <v>130</v>
      </c>
      <c r="F42" s="40" t="s">
        <v>90</v>
      </c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39">
        <v>42</v>
      </c>
      <c r="B43" s="42">
        <v>46196</v>
      </c>
      <c r="C43" s="39" t="s">
        <v>97</v>
      </c>
      <c r="D43" s="43">
        <v>0.10416666666666667</v>
      </c>
      <c r="E43" s="40" t="s">
        <v>131</v>
      </c>
      <c r="F43" s="40" t="s">
        <v>92</v>
      </c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39">
        <v>43</v>
      </c>
      <c r="B44" s="42">
        <v>46196</v>
      </c>
      <c r="C44" s="39" t="s">
        <v>97</v>
      </c>
      <c r="D44" s="43">
        <v>0.22916666666666666</v>
      </c>
      <c r="E44" s="40" t="s">
        <v>132</v>
      </c>
      <c r="F44" s="40" t="s">
        <v>74</v>
      </c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39">
        <v>44</v>
      </c>
      <c r="B45" s="42">
        <v>46196</v>
      </c>
      <c r="C45" s="39" t="s">
        <v>97</v>
      </c>
      <c r="D45" s="43">
        <v>0.35416666666666669</v>
      </c>
      <c r="E45" s="40" t="s">
        <v>133</v>
      </c>
      <c r="F45" s="40" t="s">
        <v>79</v>
      </c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9">
        <v>45</v>
      </c>
      <c r="B46" s="42">
        <v>46196</v>
      </c>
      <c r="C46" s="39" t="s">
        <v>97</v>
      </c>
      <c r="D46" s="43">
        <v>0.9375</v>
      </c>
      <c r="E46" s="40" t="s">
        <v>134</v>
      </c>
      <c r="F46" s="40" t="s">
        <v>87</v>
      </c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39">
        <v>46</v>
      </c>
      <c r="B47" s="42">
        <v>46197</v>
      </c>
      <c r="C47" s="39" t="s">
        <v>103</v>
      </c>
      <c r="D47" s="43">
        <v>6.25E-2</v>
      </c>
      <c r="E47" s="40" t="s">
        <v>135</v>
      </c>
      <c r="F47" s="40" t="s">
        <v>83</v>
      </c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9">
        <v>47</v>
      </c>
      <c r="B48" s="42">
        <v>46197</v>
      </c>
      <c r="C48" s="39" t="s">
        <v>103</v>
      </c>
      <c r="D48" s="43">
        <v>0.1875</v>
      </c>
      <c r="E48" s="40" t="s">
        <v>136</v>
      </c>
      <c r="F48" s="40" t="s">
        <v>83</v>
      </c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39">
        <v>48</v>
      </c>
      <c r="B49" s="42">
        <v>46197</v>
      </c>
      <c r="C49" s="39" t="s">
        <v>103</v>
      </c>
      <c r="D49" s="43">
        <v>0.3125</v>
      </c>
      <c r="E49" s="40" t="s">
        <v>137</v>
      </c>
      <c r="F49" s="40" t="s">
        <v>71</v>
      </c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39">
        <v>49</v>
      </c>
      <c r="B50" s="42">
        <v>46198</v>
      </c>
      <c r="C50" s="39" t="s">
        <v>110</v>
      </c>
      <c r="D50" s="43">
        <v>2.0833333333333332E-2</v>
      </c>
      <c r="E50" s="40" t="s">
        <v>138</v>
      </c>
      <c r="F50" s="40" t="s">
        <v>85</v>
      </c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39">
        <v>50</v>
      </c>
      <c r="B51" s="42">
        <v>46198</v>
      </c>
      <c r="C51" s="39" t="s">
        <v>110</v>
      </c>
      <c r="D51" s="43">
        <v>2.0833333333333332E-2</v>
      </c>
      <c r="E51" s="40" t="s">
        <v>139</v>
      </c>
      <c r="F51" s="40" t="s">
        <v>99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39">
        <v>51</v>
      </c>
      <c r="B52" s="42">
        <v>46198</v>
      </c>
      <c r="C52" s="39" t="s">
        <v>110</v>
      </c>
      <c r="D52" s="43">
        <v>0.14583333333333334</v>
      </c>
      <c r="E52" s="40" t="s">
        <v>140</v>
      </c>
      <c r="F52" s="40" t="s">
        <v>96</v>
      </c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>
      <c r="A53" s="39">
        <v>52</v>
      </c>
      <c r="B53" s="42">
        <v>46198</v>
      </c>
      <c r="C53" s="39" t="s">
        <v>110</v>
      </c>
      <c r="D53" s="43">
        <v>0.14583333333333334</v>
      </c>
      <c r="E53" s="40" t="s">
        <v>141</v>
      </c>
      <c r="F53" s="40" t="s">
        <v>101</v>
      </c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>
      <c r="A54" s="39">
        <v>53</v>
      </c>
      <c r="B54" s="42">
        <v>46198</v>
      </c>
      <c r="C54" s="39" t="s">
        <v>110</v>
      </c>
      <c r="D54" s="43">
        <v>0.27083333333333331</v>
      </c>
      <c r="E54" s="40" t="s">
        <v>142</v>
      </c>
      <c r="F54" s="40" t="s">
        <v>94</v>
      </c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>
      <c r="A55" s="39">
        <v>54</v>
      </c>
      <c r="B55" s="42">
        <v>46198</v>
      </c>
      <c r="C55" s="39" t="s">
        <v>110</v>
      </c>
      <c r="D55" s="43">
        <v>0.27083333333333331</v>
      </c>
      <c r="E55" s="40" t="s">
        <v>143</v>
      </c>
      <c r="F55" s="40" t="s">
        <v>69</v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>
      <c r="A56" s="39">
        <v>55</v>
      </c>
      <c r="B56" s="42">
        <v>46199</v>
      </c>
      <c r="C56" s="39" t="s">
        <v>67</v>
      </c>
      <c r="D56" s="43">
        <v>6.25E-2</v>
      </c>
      <c r="E56" s="40" t="s">
        <v>144</v>
      </c>
      <c r="F56" s="40" t="s">
        <v>92</v>
      </c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>
      <c r="A57" s="39">
        <v>56</v>
      </c>
      <c r="B57" s="42">
        <v>46199</v>
      </c>
      <c r="C57" s="39" t="s">
        <v>67</v>
      </c>
      <c r="D57" s="43">
        <v>6.25E-2</v>
      </c>
      <c r="E57" s="40" t="s">
        <v>145</v>
      </c>
      <c r="F57" s="40" t="s">
        <v>81</v>
      </c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>
      <c r="A58" s="39">
        <v>57</v>
      </c>
      <c r="B58" s="42">
        <v>46199</v>
      </c>
      <c r="C58" s="39" t="s">
        <v>67</v>
      </c>
      <c r="D58" s="43">
        <v>0.1875</v>
      </c>
      <c r="E58" s="40" t="s">
        <v>146</v>
      </c>
      <c r="F58" s="40" t="s">
        <v>107</v>
      </c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>
      <c r="A59" s="39">
        <v>58</v>
      </c>
      <c r="B59" s="42">
        <v>46199</v>
      </c>
      <c r="C59" s="39" t="s">
        <v>67</v>
      </c>
      <c r="D59" s="43">
        <v>0.1875</v>
      </c>
      <c r="E59" s="40" t="s">
        <v>147</v>
      </c>
      <c r="F59" s="40" t="s">
        <v>90</v>
      </c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>
      <c r="A60" s="39">
        <v>59</v>
      </c>
      <c r="B60" s="42">
        <v>46199</v>
      </c>
      <c r="C60" s="39" t="s">
        <v>67</v>
      </c>
      <c r="D60" s="43">
        <v>0.3125</v>
      </c>
      <c r="E60" s="40" t="s">
        <v>148</v>
      </c>
      <c r="F60" s="40" t="s">
        <v>76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>
      <c r="A61" s="39">
        <v>60</v>
      </c>
      <c r="B61" s="42">
        <v>46199</v>
      </c>
      <c r="C61" s="39" t="s">
        <v>67</v>
      </c>
      <c r="D61" s="43">
        <v>0.3125</v>
      </c>
      <c r="E61" s="40" t="s">
        <v>149</v>
      </c>
      <c r="F61" s="40" t="s">
        <v>79</v>
      </c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>
      <c r="A62" s="39">
        <v>61</v>
      </c>
      <c r="B62" s="42">
        <v>46200</v>
      </c>
      <c r="C62" s="39" t="s">
        <v>72</v>
      </c>
      <c r="D62" s="43">
        <v>2.0833333333333332E-2</v>
      </c>
      <c r="E62" s="40" t="s">
        <v>150</v>
      </c>
      <c r="F62" s="40" t="s">
        <v>83</v>
      </c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>
      <c r="A63" s="39">
        <v>62</v>
      </c>
      <c r="B63" s="42">
        <v>46200</v>
      </c>
      <c r="C63" s="39" t="s">
        <v>72</v>
      </c>
      <c r="D63" s="43">
        <v>2.0833333333333332E-2</v>
      </c>
      <c r="E63" s="40" t="s">
        <v>151</v>
      </c>
      <c r="F63" s="40" t="s">
        <v>74</v>
      </c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>
      <c r="A64" s="44">
        <v>63</v>
      </c>
      <c r="B64" s="45">
        <v>46200</v>
      </c>
      <c r="C64" s="44" t="s">
        <v>72</v>
      </c>
      <c r="D64" s="46">
        <v>0.22916666666666666</v>
      </c>
      <c r="E64" s="44" t="s">
        <v>152</v>
      </c>
      <c r="F64" s="44" t="s">
        <v>87</v>
      </c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>
      <c r="A65" s="47">
        <v>64</v>
      </c>
      <c r="B65" s="48">
        <v>46200</v>
      </c>
      <c r="C65" s="47" t="s">
        <v>72</v>
      </c>
      <c r="D65" s="49">
        <v>0.22916666666666666</v>
      </c>
      <c r="E65" s="47" t="s">
        <v>153</v>
      </c>
      <c r="F65" s="47" t="s">
        <v>71</v>
      </c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>
      <c r="A66" s="44">
        <v>65</v>
      </c>
      <c r="B66" s="45">
        <v>46200</v>
      </c>
      <c r="C66" s="44" t="s">
        <v>72</v>
      </c>
      <c r="D66" s="46">
        <v>0.35416666666666669</v>
      </c>
      <c r="E66" s="44" t="s">
        <v>154</v>
      </c>
      <c r="F66" s="44" t="s">
        <v>85</v>
      </c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>
      <c r="A67" s="47">
        <v>66</v>
      </c>
      <c r="B67" s="48">
        <v>46200</v>
      </c>
      <c r="C67" s="47" t="s">
        <v>72</v>
      </c>
      <c r="D67" s="49">
        <v>0.35416666666666669</v>
      </c>
      <c r="E67" s="47" t="s">
        <v>155</v>
      </c>
      <c r="F67" s="47" t="s">
        <v>99</v>
      </c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>
      <c r="A68" s="41">
        <v>67</v>
      </c>
      <c r="B68" s="50">
        <v>46201</v>
      </c>
      <c r="C68" s="41" t="s">
        <v>77</v>
      </c>
      <c r="D68" s="51">
        <v>0.10416666666666667</v>
      </c>
      <c r="E68" s="41" t="s">
        <v>156</v>
      </c>
      <c r="F68" s="41" t="s">
        <v>81</v>
      </c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>
      <c r="A69" s="41">
        <v>68</v>
      </c>
      <c r="B69" s="50">
        <v>46201</v>
      </c>
      <c r="C69" s="41" t="s">
        <v>77</v>
      </c>
      <c r="D69" s="51">
        <v>0.10416666666666667</v>
      </c>
      <c r="E69" s="41" t="s">
        <v>157</v>
      </c>
      <c r="F69" s="41" t="s">
        <v>92</v>
      </c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:25">
      <c r="A70" s="41">
        <v>69</v>
      </c>
      <c r="B70" s="50">
        <v>46201</v>
      </c>
      <c r="C70" s="41" t="s">
        <v>77</v>
      </c>
      <c r="D70" s="51">
        <v>0.20833333333333334</v>
      </c>
      <c r="E70" s="41" t="s">
        <v>158</v>
      </c>
      <c r="F70" s="41" t="s">
        <v>101</v>
      </c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>
      <c r="A71" s="41">
        <v>70</v>
      </c>
      <c r="B71" s="50">
        <v>46201</v>
      </c>
      <c r="C71" s="41" t="s">
        <v>77</v>
      </c>
      <c r="D71" s="51">
        <v>0.20833333333333334</v>
      </c>
      <c r="E71" s="41" t="s">
        <v>159</v>
      </c>
      <c r="F71" s="41" t="s">
        <v>96</v>
      </c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>
      <c r="A72" s="41">
        <v>71</v>
      </c>
      <c r="B72" s="50">
        <v>46201</v>
      </c>
      <c r="C72" s="41" t="s">
        <v>77</v>
      </c>
      <c r="D72" s="51">
        <v>0.3125</v>
      </c>
      <c r="E72" s="41" t="s">
        <v>160</v>
      </c>
      <c r="F72" s="41" t="s">
        <v>107</v>
      </c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>
      <c r="A73" s="41">
        <v>72</v>
      </c>
      <c r="B73" s="50">
        <v>46201</v>
      </c>
      <c r="C73" s="41" t="s">
        <v>77</v>
      </c>
      <c r="D73" s="51">
        <v>0.3125</v>
      </c>
      <c r="E73" s="41" t="s">
        <v>161</v>
      </c>
      <c r="F73" s="41" t="s">
        <v>90</v>
      </c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>
      <c r="A74" s="41">
        <v>73</v>
      </c>
      <c r="B74" s="50">
        <v>46202</v>
      </c>
      <c r="C74" s="41" t="s">
        <v>88</v>
      </c>
      <c r="D74" s="51">
        <v>2.0833333333333332E-2</v>
      </c>
      <c r="E74" s="41" t="s">
        <v>162</v>
      </c>
      <c r="F74" s="41" t="s">
        <v>76</v>
      </c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:25">
      <c r="A75" s="41">
        <v>74</v>
      </c>
      <c r="B75" s="50">
        <v>46202</v>
      </c>
      <c r="C75" s="41" t="s">
        <v>88</v>
      </c>
      <c r="D75" s="51">
        <v>0.9375</v>
      </c>
      <c r="E75" s="41" t="s">
        <v>163</v>
      </c>
      <c r="F75" s="41" t="s">
        <v>87</v>
      </c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>
      <c r="A76" s="41">
        <v>75</v>
      </c>
      <c r="B76" s="50">
        <v>46203</v>
      </c>
      <c r="C76" s="41" t="s">
        <v>97</v>
      </c>
      <c r="D76" s="51">
        <v>8.3333333333333329E-2</v>
      </c>
      <c r="E76" s="41" t="s">
        <v>164</v>
      </c>
      <c r="F76" s="41" t="s">
        <v>83</v>
      </c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>
      <c r="A77" s="41">
        <v>76</v>
      </c>
      <c r="B77" s="50">
        <v>46203</v>
      </c>
      <c r="C77" s="41" t="s">
        <v>97</v>
      </c>
      <c r="D77" s="51">
        <v>0.27083333333333331</v>
      </c>
      <c r="E77" s="41" t="s">
        <v>165</v>
      </c>
      <c r="F77" s="41" t="s">
        <v>94</v>
      </c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>
      <c r="A78" s="41">
        <v>77</v>
      </c>
      <c r="B78" s="50">
        <v>46203</v>
      </c>
      <c r="C78" s="41" t="s">
        <v>97</v>
      </c>
      <c r="D78" s="51">
        <v>0.9375</v>
      </c>
      <c r="E78" s="41" t="s">
        <v>166</v>
      </c>
      <c r="F78" s="41" t="s">
        <v>90</v>
      </c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>
      <c r="A79" s="41">
        <v>78</v>
      </c>
      <c r="B79" s="50">
        <v>46204</v>
      </c>
      <c r="C79" s="41" t="s">
        <v>103</v>
      </c>
      <c r="D79" s="51">
        <v>0.10416666666666667</v>
      </c>
      <c r="E79" s="41" t="s">
        <v>167</v>
      </c>
      <c r="F79" s="41" t="s">
        <v>81</v>
      </c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:25">
      <c r="A80" s="41">
        <v>79</v>
      </c>
      <c r="B80" s="50">
        <v>46204</v>
      </c>
      <c r="C80" s="41" t="s">
        <v>103</v>
      </c>
      <c r="D80" s="51">
        <v>0.27083333333333331</v>
      </c>
      <c r="E80" s="41" t="s">
        <v>168</v>
      </c>
      <c r="F80" s="41" t="s">
        <v>69</v>
      </c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>
      <c r="A81" s="41">
        <v>80</v>
      </c>
      <c r="B81" s="50">
        <v>46204</v>
      </c>
      <c r="C81" s="41" t="s">
        <v>103</v>
      </c>
      <c r="D81" s="51">
        <v>0.89583333333333337</v>
      </c>
      <c r="E81" s="41" t="s">
        <v>169</v>
      </c>
      <c r="F81" s="41" t="s">
        <v>96</v>
      </c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>
      <c r="A82" s="41">
        <v>81</v>
      </c>
      <c r="B82" s="50">
        <v>46205</v>
      </c>
      <c r="C82" s="41" t="s">
        <v>110</v>
      </c>
      <c r="D82" s="51">
        <v>6.25E-2</v>
      </c>
      <c r="E82" s="41" t="s">
        <v>170</v>
      </c>
      <c r="F82" s="41" t="s">
        <v>99</v>
      </c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>
      <c r="A83" s="41">
        <v>82</v>
      </c>
      <c r="B83" s="50">
        <v>46205</v>
      </c>
      <c r="C83" s="41" t="s">
        <v>110</v>
      </c>
      <c r="D83" s="51">
        <v>6.25E-2</v>
      </c>
      <c r="E83" s="41" t="s">
        <v>171</v>
      </c>
      <c r="F83" s="41" t="s">
        <v>79</v>
      </c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>
      <c r="A84" s="41">
        <v>83</v>
      </c>
      <c r="B84" s="50">
        <v>46205</v>
      </c>
      <c r="C84" s="41" t="s">
        <v>110</v>
      </c>
      <c r="D84" s="51">
        <v>0.22916666666666666</v>
      </c>
      <c r="E84" s="41" t="s">
        <v>172</v>
      </c>
      <c r="F84" s="41" t="s">
        <v>76</v>
      </c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>
      <c r="A85" s="41">
        <v>84</v>
      </c>
      <c r="B85" s="50">
        <v>46206</v>
      </c>
      <c r="C85" s="41" t="s">
        <v>67</v>
      </c>
      <c r="D85" s="51">
        <v>2.0833333333333332E-2</v>
      </c>
      <c r="E85" s="41" t="s">
        <v>173</v>
      </c>
      <c r="F85" s="41" t="s">
        <v>74</v>
      </c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>
      <c r="A86" s="41">
        <v>85</v>
      </c>
      <c r="B86" s="50">
        <v>46206</v>
      </c>
      <c r="C86" s="41" t="s">
        <v>67</v>
      </c>
      <c r="D86" s="51">
        <v>0.1875</v>
      </c>
      <c r="E86" s="41" t="s">
        <v>174</v>
      </c>
      <c r="F86" s="41" t="s">
        <v>85</v>
      </c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:25">
      <c r="A87" s="41">
        <v>86</v>
      </c>
      <c r="B87" s="50">
        <v>46206</v>
      </c>
      <c r="C87" s="41" t="s">
        <v>67</v>
      </c>
      <c r="D87" s="51">
        <v>0.35416666666666669</v>
      </c>
      <c r="E87" s="41" t="s">
        <v>175</v>
      </c>
      <c r="F87" s="41" t="s">
        <v>90</v>
      </c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>
      <c r="A88" s="41">
        <v>87</v>
      </c>
      <c r="B88" s="50">
        <v>46206</v>
      </c>
      <c r="C88" s="41" t="s">
        <v>67</v>
      </c>
      <c r="D88" s="51">
        <v>0.97916666666666663</v>
      </c>
      <c r="E88" s="41" t="s">
        <v>176</v>
      </c>
      <c r="F88" s="41" t="s">
        <v>101</v>
      </c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:25">
      <c r="A89" s="41">
        <v>88</v>
      </c>
      <c r="B89" s="50">
        <v>46207</v>
      </c>
      <c r="C89" s="41" t="s">
        <v>72</v>
      </c>
      <c r="D89" s="51">
        <v>0.14583333333333334</v>
      </c>
      <c r="E89" s="41" t="s">
        <v>177</v>
      </c>
      <c r="F89" s="41" t="s">
        <v>107</v>
      </c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:25">
      <c r="A90" s="41">
        <v>89</v>
      </c>
      <c r="B90" s="50">
        <v>46207</v>
      </c>
      <c r="C90" s="41" t="s">
        <v>72</v>
      </c>
      <c r="D90" s="51">
        <v>0.29166666666666669</v>
      </c>
      <c r="E90" s="41" t="s">
        <v>178</v>
      </c>
      <c r="F90" s="41" t="s">
        <v>87</v>
      </c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:25">
      <c r="A91" s="41">
        <v>90</v>
      </c>
      <c r="B91" s="50">
        <v>46207</v>
      </c>
      <c r="C91" s="41" t="s">
        <v>72</v>
      </c>
      <c r="D91" s="51">
        <v>0.9375</v>
      </c>
      <c r="E91" s="41" t="s">
        <v>179</v>
      </c>
      <c r="F91" s="41" t="s">
        <v>92</v>
      </c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:25">
      <c r="A92" s="41">
        <v>91</v>
      </c>
      <c r="B92" s="50">
        <v>46208</v>
      </c>
      <c r="C92" s="41" t="s">
        <v>77</v>
      </c>
      <c r="D92" s="51">
        <v>0.10416666666666667</v>
      </c>
      <c r="E92" s="41" t="s">
        <v>180</v>
      </c>
      <c r="F92" s="41" t="s">
        <v>81</v>
      </c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:25">
      <c r="A93" s="41">
        <v>92</v>
      </c>
      <c r="B93" s="50">
        <v>46209</v>
      </c>
      <c r="C93" s="41" t="s">
        <v>88</v>
      </c>
      <c r="D93" s="51">
        <v>6.25E-2</v>
      </c>
      <c r="E93" s="41" t="s">
        <v>181</v>
      </c>
      <c r="F93" s="41" t="s">
        <v>69</v>
      </c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>
      <c r="A94" s="41">
        <v>93</v>
      </c>
      <c r="B94" s="50">
        <v>46209</v>
      </c>
      <c r="C94" s="41" t="s">
        <v>88</v>
      </c>
      <c r="D94" s="51">
        <v>0.22916666666666666</v>
      </c>
      <c r="E94" s="41" t="s">
        <v>182</v>
      </c>
      <c r="F94" s="41" t="s">
        <v>90</v>
      </c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:25">
      <c r="A95" s="41">
        <v>94</v>
      </c>
      <c r="B95" s="50">
        <v>46210</v>
      </c>
      <c r="C95" s="41" t="s">
        <v>97</v>
      </c>
      <c r="D95" s="51">
        <v>6.25E-2</v>
      </c>
      <c r="E95" s="41" t="s">
        <v>183</v>
      </c>
      <c r="F95" s="41" t="s">
        <v>99</v>
      </c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:25">
      <c r="A96" s="41">
        <v>95</v>
      </c>
      <c r="B96" s="50">
        <v>46210</v>
      </c>
      <c r="C96" s="41" t="s">
        <v>97</v>
      </c>
      <c r="D96" s="51">
        <v>0.89583333333333337</v>
      </c>
      <c r="E96" s="41" t="s">
        <v>184</v>
      </c>
      <c r="F96" s="41" t="s">
        <v>96</v>
      </c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:25">
      <c r="A97" s="41">
        <v>96</v>
      </c>
      <c r="B97" s="50">
        <v>46211</v>
      </c>
      <c r="C97" s="41" t="s">
        <v>103</v>
      </c>
      <c r="D97" s="51">
        <v>6.25E-2</v>
      </c>
      <c r="E97" s="41" t="s">
        <v>185</v>
      </c>
      <c r="F97" s="41" t="s">
        <v>85</v>
      </c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:25">
      <c r="A98" s="41">
        <v>97</v>
      </c>
      <c r="B98" s="50">
        <v>46213</v>
      </c>
      <c r="C98" s="41" t="s">
        <v>67</v>
      </c>
      <c r="D98" s="51">
        <v>6.25E-2</v>
      </c>
      <c r="E98" s="41" t="s">
        <v>186</v>
      </c>
      <c r="F98" s="41" t="s">
        <v>83</v>
      </c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:25">
      <c r="A99" s="41">
        <v>98</v>
      </c>
      <c r="B99" s="50">
        <v>46214</v>
      </c>
      <c r="C99" s="41" t="s">
        <v>72</v>
      </c>
      <c r="D99" s="51">
        <v>2.0833333333333332E-2</v>
      </c>
      <c r="E99" s="41" t="s">
        <v>187</v>
      </c>
      <c r="F99" s="41" t="s">
        <v>76</v>
      </c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:25">
      <c r="A100" s="41">
        <v>99</v>
      </c>
      <c r="B100" s="50">
        <v>46215</v>
      </c>
      <c r="C100" s="41" t="s">
        <v>77</v>
      </c>
      <c r="D100" s="51">
        <v>0.10416666666666667</v>
      </c>
      <c r="E100" s="41" t="s">
        <v>188</v>
      </c>
      <c r="F100" s="41" t="s">
        <v>101</v>
      </c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:25">
      <c r="A101" s="41">
        <v>100</v>
      </c>
      <c r="B101" s="50">
        <v>46215</v>
      </c>
      <c r="C101" s="41" t="s">
        <v>77</v>
      </c>
      <c r="D101" s="51">
        <v>0.27083333333333331</v>
      </c>
      <c r="E101" s="41" t="s">
        <v>189</v>
      </c>
      <c r="F101" s="41" t="s">
        <v>107</v>
      </c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>
      <c r="A102" s="41">
        <v>101</v>
      </c>
      <c r="B102" s="50">
        <v>46218</v>
      </c>
      <c r="C102" s="41" t="s">
        <v>103</v>
      </c>
      <c r="D102" s="51">
        <v>2.0833333333333332E-2</v>
      </c>
      <c r="E102" s="41" t="s">
        <v>190</v>
      </c>
      <c r="F102" s="41" t="s">
        <v>90</v>
      </c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:25">
      <c r="A103" s="41">
        <v>102</v>
      </c>
      <c r="B103" s="50">
        <v>46219</v>
      </c>
      <c r="C103" s="41" t="s">
        <v>110</v>
      </c>
      <c r="D103" s="51">
        <v>2.0833333333333332E-2</v>
      </c>
      <c r="E103" s="41" t="s">
        <v>191</v>
      </c>
      <c r="F103" s="41" t="s">
        <v>96</v>
      </c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>
      <c r="A104" s="41">
        <v>103</v>
      </c>
      <c r="B104" s="50">
        <v>46222</v>
      </c>
      <c r="C104" s="41" t="s">
        <v>77</v>
      </c>
      <c r="D104" s="51">
        <v>0.10416666666666667</v>
      </c>
      <c r="E104" s="41" t="s">
        <v>192</v>
      </c>
      <c r="F104" s="41" t="s">
        <v>101</v>
      </c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:25">
      <c r="A105" s="41">
        <v>104</v>
      </c>
      <c r="B105" s="50">
        <v>46223</v>
      </c>
      <c r="C105" s="41" t="s">
        <v>88</v>
      </c>
      <c r="D105" s="51">
        <v>2.0833333333333332E-2</v>
      </c>
      <c r="E105" s="41" t="s">
        <v>193</v>
      </c>
      <c r="F105" s="47" t="s">
        <v>81</v>
      </c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: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: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: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:2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:2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:2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:2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:2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:2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:2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:2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:2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:2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:2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:2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:2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spans="1:2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:2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spans="1:2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:2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spans="1:2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:2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spans="1:2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spans="1:2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spans="1:2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spans="1:2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spans="1: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spans="1:2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spans="1:2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spans="1:2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spans="1:2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spans="1:2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spans="1:2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spans="1:2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spans="1:2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spans="1:2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spans="1:2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 spans="1:2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 spans="1:2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 spans="1:2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 spans="1:2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spans="1:2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spans="1:2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spans="1:2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spans="1:2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spans="1:2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 spans="1:2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spans="1:2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spans="1:2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:2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spans="1:25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spans="1:25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spans="1:25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spans="1:25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spans="1:25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:25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spans="1:2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:25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spans="1:25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:25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spans="1:25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:25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:25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:2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:25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spans="1:25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:25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spans="1:25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:25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spans="1:25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:25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spans="1:2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:25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spans="1:25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:25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spans="1:25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:25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spans="1:25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:25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 spans="1:25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:25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 spans="1:2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:25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:25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:25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 spans="1:25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:25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 spans="1:25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:25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 spans="1:25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:25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 spans="1:2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:25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 spans="1:25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:2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 spans="1:25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:25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 spans="1:25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:25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 spans="1:25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:25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 spans="1:2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:25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 spans="1:25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:25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:25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:25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 spans="1:25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:25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 spans="1:25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:25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 spans="1:2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:25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 spans="1:25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:25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 spans="1:25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:25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 spans="1:25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:25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 spans="1:25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:25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 spans="1: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:25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 spans="1:25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:25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 spans="1:25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:25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 spans="1:25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:25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 spans="1:25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:25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 spans="1:2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:25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 spans="1:25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:25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 spans="1:25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:25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 spans="1:25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:25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 spans="1:25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:25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 spans="1:2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:25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 spans="1:25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:25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 spans="1:25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:25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 spans="1:25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:25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 spans="1:25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:25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 spans="1:2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:25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 spans="1:25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:25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 spans="1:25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:25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 spans="1:25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:25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 spans="1:25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:25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 spans="1:2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:25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 spans="1:25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:25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 spans="1:25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:25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 spans="1:25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:25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 spans="1:25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:25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 spans="1:2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:25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 spans="1:25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:25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 spans="1:25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:2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 spans="1:25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:25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 spans="1:25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:25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 spans="1:2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:25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 spans="1:25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:25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 spans="1:25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:25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 spans="1:25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:25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 spans="1:25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:25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 spans="1:2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:25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 spans="1:25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:25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 spans="1:25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:25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 spans="1:25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:25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 spans="1:25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:25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 spans="1:2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:25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 spans="1:25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:25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 spans="1:25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:25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 spans="1:25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:25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 spans="1:25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:25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 spans="1:2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:25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 spans="1:25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:25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 spans="1:25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:25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 spans="1:25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:25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 spans="1:25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:25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 spans="1: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:25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 spans="1:25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:25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 spans="1:25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:25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 spans="1:25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:25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 spans="1:25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:25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 spans="1:2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:25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 spans="1:25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:25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 spans="1:25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:25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 spans="1:25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:25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 spans="1:25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:25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 spans="1:2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:25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 spans="1:25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:25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 spans="1:25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:25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 spans="1:25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:25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 spans="1:25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:25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 spans="1:2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:25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 spans="1:25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:25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 spans="1:25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:25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 spans="1:25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:25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 spans="1:25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:25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 spans="1:2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:25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 spans="1:25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:25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 spans="1:25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:25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 spans="1:25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:25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 spans="1:25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:25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 spans="1:2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:25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 spans="1:25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:25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 spans="1:25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:25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 spans="1:25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:25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 spans="1:25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:25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 spans="1:2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:25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 spans="1:25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:25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 spans="1:25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 spans="1:25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:25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 spans="1:25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:25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 spans="1:2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:25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 spans="1:25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:25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 spans="1:25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:25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 spans="1:25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:25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 spans="1:25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:25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 spans="1:2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:25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 spans="1:25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:25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 spans="1:25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:25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 spans="1:25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:25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 spans="1:25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:25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 spans="1:2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:25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 spans="1:25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:25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 spans="1:25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:25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 spans="1:25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:25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 spans="1:25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:25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 spans="1: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:25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 spans="1:25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:25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 spans="1:25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:25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 spans="1:25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:25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 spans="1:25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:25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 spans="1:2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:25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 spans="1:25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:25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 spans="1:25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:25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 spans="1:25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:25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 spans="1:25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:25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 spans="1:2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:25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 spans="1:25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:25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 spans="1:25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:25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 spans="1:25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:25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 spans="1:25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:25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 spans="1:2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:25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 spans="1:25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:25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 spans="1:25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:25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 spans="1:25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:25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 spans="1:25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:25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:25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 spans="1:25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:25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 spans="1:25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:25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 spans="1:25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:25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 spans="1:25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:25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 spans="1:2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:25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 spans="1:25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:25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 spans="1:25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:25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 spans="1:25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:25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 spans="1:25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:25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 spans="1:2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:25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 spans="1:25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:25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 spans="1:25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:25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 spans="1:25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:25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 spans="1:25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:25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 spans="1:2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:25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 spans="1:25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:25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 spans="1:25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:25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 spans="1:25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:25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 spans="1:25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:25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 spans="1:2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:25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 spans="1:25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:25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 spans="1:25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:25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 spans="1:25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:25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 spans="1:25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:25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 spans="1:2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:25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 spans="1:25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:25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 spans="1:25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:25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 spans="1:25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:25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 spans="1:25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:25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 spans="1: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:25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 spans="1:25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:25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 spans="1:25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:25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 spans="1:25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:25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 spans="1:25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:25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 spans="1:2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:25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 spans="1:25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:25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 spans="1:25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:25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 spans="1:25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:25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 spans="1:25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:25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 spans="1:2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:25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 spans="1:25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:25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 spans="1:25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:25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 spans="1:25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:25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 spans="1:25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:25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 spans="1:2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:25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 spans="1:25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:25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 spans="1:25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:25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 spans="1:25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:25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 spans="1:25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:25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 spans="1:2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:25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 spans="1:25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:25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 spans="1:25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:25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 spans="1:25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:25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 spans="1:25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:25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 spans="1:2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:25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 spans="1:25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:25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 spans="1:25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:25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 spans="1:25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:25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 spans="1:25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:25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 spans="1:2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:2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 spans="1:2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:2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 spans="1:2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:2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 spans="1:2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:2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 spans="1:2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:2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 spans="1:2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:2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 spans="1:2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:2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 spans="1:2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:2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 spans="1:2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:2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 spans="1:2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:2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 spans="1:2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:2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 spans="1:2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:2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 spans="1:2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:2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 spans="1:2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:2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 spans="1:2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:2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 spans="1:2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:2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 spans="1:2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:2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 spans="1:2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:2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 spans="1:2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:2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 spans="1:2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:2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 spans="1: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:2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 spans="1:2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:2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 spans="1:2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:2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 spans="1:2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:2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 spans="1:2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:2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 spans="1:2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:2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 spans="1:2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:2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 spans="1:2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:2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 spans="1:2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:2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 spans="1:2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:2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 spans="1:2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:2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 spans="1:2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:2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 spans="1:2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:2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 spans="1:2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:2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 spans="1:2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:2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 spans="1:2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:2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 spans="1:2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:2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 spans="1:2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:2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 spans="1:2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:2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 spans="1:2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:2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 spans="1:2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:2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 spans="1:2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:2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 spans="1:2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:2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 spans="1:2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:2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 spans="1:2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:2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 spans="1:2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:2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 spans="1:2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:2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 spans="1:2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:2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 spans="1:2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:2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 spans="1:2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:2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 spans="1:2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:2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 spans="1:2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:2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 spans="1:2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:2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 spans="1:2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:2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:2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:2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 spans="1:2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:2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 spans="1:2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:2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 spans="1:2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:2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 spans="1:2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:2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 spans="1:2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:2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 spans="1:2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:2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 spans="1:2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:2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 spans="1:2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:2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 spans="1:2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:2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 spans="1:2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:2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 spans="1:2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:2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 spans="1:2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:2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 spans="1:2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:2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 spans="1:2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:2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:2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:2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 spans="1: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:2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:2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:2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 spans="1:2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:2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 spans="1:2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:2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 spans="1:2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:2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 spans="1:2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:2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 spans="1:2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:2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 spans="1:2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:2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 spans="1:2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:2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:2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:2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 spans="1:2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:2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 spans="1:2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:2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 spans="1:2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:2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 spans="1:2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:2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 spans="1:2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:2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 spans="1:2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:2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:2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:2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:2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:2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 spans="1:2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:2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 spans="1:2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:2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 spans="1:2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:2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 spans="1:2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:2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 spans="1:2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:2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 spans="1:2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:2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 spans="1:2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:2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 spans="1:2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:2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 spans="1:2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:2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 spans="1:2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:2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 spans="1:2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:2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 spans="1:2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:2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 spans="1:2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:2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 spans="1:2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:2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 spans="1:2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:2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 spans="1:2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:2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 spans="1:2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:2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 spans="1:2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:2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 spans="1:2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:2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 spans="1:2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:2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 spans="1:2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:2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 spans="1:2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:2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 spans="1:2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:2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 spans="1:2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:2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 spans="1:2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:2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 spans="1:2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:2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 spans="1:2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:2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 spans="1:2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:2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 spans="1:2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:2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 spans="1:2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:2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 spans="1:2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:2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 spans="1:2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:2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 spans="1: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:2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 spans="1:2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:2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 spans="1:2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:2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 spans="1:2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:2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 spans="1:2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:2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 spans="1:2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:2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 spans="1:2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:2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 spans="1:2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:2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 spans="1:2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:2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 spans="1:2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:2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 spans="1:2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:2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 spans="1:2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:2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:2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:2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 spans="1:2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:2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 spans="1:2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:2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 spans="1:2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:2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 spans="1:2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:2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 spans="1:2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:2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 spans="1:2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:2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 spans="1:2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:2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 spans="1:2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:2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 spans="1:2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:2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 spans="1:2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:2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 spans="1:2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:2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 spans="1:2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:2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 spans="1:2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:2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 spans="1:2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:2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 spans="1:2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:25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 spans="1:25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:25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 spans="1:25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:2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 spans="1:2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 spans="1:2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 spans="1:2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 spans="1:2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 spans="1:2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 spans="1:2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 spans="1:2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 spans="1:2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 spans="1:2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 spans="1:2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 spans="1:2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 spans="1:25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 spans="1:25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2"/>
  <sheetViews>
    <sheetView workbookViewId="0"/>
  </sheetViews>
  <sheetFormatPr defaultColWidth="12.5703125" defaultRowHeight="15.75" customHeight="1"/>
  <sheetData>
    <row r="1" spans="1:3">
      <c r="A1" s="52"/>
      <c r="B1" s="13" t="s">
        <v>194</v>
      </c>
      <c r="C1" s="19"/>
    </row>
    <row r="2" spans="1:3">
      <c r="A2" s="52" t="s">
        <v>195</v>
      </c>
      <c r="B2" s="13" t="s">
        <v>196</v>
      </c>
      <c r="C2" s="19"/>
    </row>
    <row r="3" spans="1:3">
      <c r="A3" s="52" t="s">
        <v>197</v>
      </c>
      <c r="B3" s="13" t="s">
        <v>198</v>
      </c>
      <c r="C3" s="19" t="s">
        <v>199</v>
      </c>
    </row>
    <row r="4" spans="1:3">
      <c r="A4" s="52">
        <f t="shared" ref="A4:A33" si="0">SUMPRODUCT((C4&lt;C$4:C$33)/COUNTIF(C$4:C$33,C$4:C$33))+1</f>
        <v>1</v>
      </c>
      <c r="B4" s="11" t="s">
        <v>29</v>
      </c>
      <c r="C4" s="12">
        <v>24</v>
      </c>
    </row>
    <row r="5" spans="1:3">
      <c r="A5" s="52">
        <f t="shared" si="0"/>
        <v>2</v>
      </c>
      <c r="B5" s="11" t="s">
        <v>8</v>
      </c>
      <c r="C5" s="12">
        <v>21</v>
      </c>
    </row>
    <row r="6" spans="1:3">
      <c r="A6" s="52">
        <f t="shared" si="0"/>
        <v>2</v>
      </c>
      <c r="B6" s="11" t="s">
        <v>24</v>
      </c>
      <c r="C6" s="12">
        <v>21</v>
      </c>
    </row>
    <row r="7" spans="1:3">
      <c r="A7" s="52">
        <f t="shared" si="0"/>
        <v>2</v>
      </c>
      <c r="B7" s="11" t="s">
        <v>25</v>
      </c>
      <c r="C7" s="12">
        <v>21</v>
      </c>
    </row>
    <row r="8" spans="1:3">
      <c r="A8" s="52">
        <f t="shared" si="0"/>
        <v>2</v>
      </c>
      <c r="B8" s="11" t="s">
        <v>30</v>
      </c>
      <c r="C8" s="12">
        <v>21</v>
      </c>
    </row>
    <row r="9" spans="1:3">
      <c r="A9" s="52">
        <f t="shared" si="0"/>
        <v>2</v>
      </c>
      <c r="B9" s="11" t="s">
        <v>31</v>
      </c>
      <c r="C9" s="12">
        <v>21</v>
      </c>
    </row>
    <row r="10" spans="1:3">
      <c r="A10" s="52">
        <f t="shared" si="0"/>
        <v>2</v>
      </c>
      <c r="B10" s="11" t="s">
        <v>32</v>
      </c>
      <c r="C10" s="12">
        <v>21</v>
      </c>
    </row>
    <row r="11" spans="1:3">
      <c r="A11" s="52">
        <f t="shared" si="0"/>
        <v>3.0000000000000004</v>
      </c>
      <c r="B11" s="11" t="s">
        <v>17</v>
      </c>
      <c r="C11" s="12">
        <v>19</v>
      </c>
    </row>
    <row r="12" spans="1:3">
      <c r="A12" s="52">
        <f t="shared" si="0"/>
        <v>4</v>
      </c>
      <c r="B12" s="11" t="s">
        <v>21</v>
      </c>
      <c r="C12" s="12">
        <v>18</v>
      </c>
    </row>
    <row r="13" spans="1:3">
      <c r="A13" s="52">
        <f t="shared" si="0"/>
        <v>4</v>
      </c>
      <c r="B13" s="14" t="s">
        <v>22</v>
      </c>
      <c r="C13" s="12">
        <v>18</v>
      </c>
    </row>
    <row r="14" spans="1:3">
      <c r="A14" s="52">
        <f t="shared" si="0"/>
        <v>4</v>
      </c>
      <c r="B14" s="11" t="s">
        <v>37</v>
      </c>
      <c r="C14" s="12">
        <v>18</v>
      </c>
    </row>
    <row r="15" spans="1:3">
      <c r="A15" s="52">
        <f t="shared" si="0"/>
        <v>4</v>
      </c>
      <c r="B15" s="11" t="s">
        <v>38</v>
      </c>
      <c r="C15" s="12">
        <v>18</v>
      </c>
    </row>
    <row r="16" spans="1:3">
      <c r="A16" s="52">
        <f t="shared" si="0"/>
        <v>5</v>
      </c>
      <c r="B16" s="11" t="s">
        <v>44</v>
      </c>
      <c r="C16" s="12">
        <v>17</v>
      </c>
    </row>
    <row r="17" spans="1:3">
      <c r="A17" s="52">
        <f t="shared" si="0"/>
        <v>6</v>
      </c>
      <c r="B17" s="11" t="s">
        <v>14</v>
      </c>
      <c r="C17" s="12">
        <v>16</v>
      </c>
    </row>
    <row r="18" spans="1:3">
      <c r="A18" s="52">
        <f t="shared" si="0"/>
        <v>6</v>
      </c>
      <c r="B18" s="11" t="s">
        <v>43</v>
      </c>
      <c r="C18" s="12">
        <v>16</v>
      </c>
    </row>
    <row r="19" spans="1:3">
      <c r="A19" s="52">
        <f t="shared" si="0"/>
        <v>7</v>
      </c>
      <c r="B19" s="11" t="s">
        <v>20</v>
      </c>
      <c r="C19" s="12">
        <v>15</v>
      </c>
    </row>
    <row r="20" spans="1:3">
      <c r="A20" s="52">
        <f t="shared" si="0"/>
        <v>7</v>
      </c>
      <c r="B20" s="11" t="s">
        <v>34</v>
      </c>
      <c r="C20" s="12">
        <v>15</v>
      </c>
    </row>
    <row r="21" spans="1:3">
      <c r="A21" s="52">
        <f t="shared" si="0"/>
        <v>7</v>
      </c>
      <c r="B21" s="11" t="s">
        <v>36</v>
      </c>
      <c r="C21" s="12">
        <v>15</v>
      </c>
    </row>
    <row r="22" spans="1:3">
      <c r="A22" s="52">
        <f t="shared" si="0"/>
        <v>7.9999999999999991</v>
      </c>
      <c r="B22" s="11" t="s">
        <v>18</v>
      </c>
      <c r="C22" s="12">
        <v>14</v>
      </c>
    </row>
    <row r="23" spans="1:3">
      <c r="A23" s="52">
        <f t="shared" si="0"/>
        <v>7.9999999999999991</v>
      </c>
      <c r="B23" s="11" t="s">
        <v>19</v>
      </c>
      <c r="C23" s="12">
        <v>14</v>
      </c>
    </row>
    <row r="24" spans="1:3">
      <c r="A24" s="52">
        <f t="shared" si="0"/>
        <v>7.9999999999999991</v>
      </c>
      <c r="B24" s="11" t="s">
        <v>33</v>
      </c>
      <c r="C24" s="12">
        <v>14</v>
      </c>
    </row>
    <row r="25" spans="1:3">
      <c r="A25" s="52">
        <f t="shared" si="0"/>
        <v>7.9999999999999991</v>
      </c>
      <c r="B25" s="11" t="s">
        <v>39</v>
      </c>
      <c r="C25" s="12">
        <v>14</v>
      </c>
    </row>
    <row r="26" spans="1:3">
      <c r="A26" s="52">
        <f t="shared" si="0"/>
        <v>7.9999999999999991</v>
      </c>
      <c r="B26" s="11" t="s">
        <v>40</v>
      </c>
      <c r="C26" s="12">
        <v>14</v>
      </c>
    </row>
    <row r="27" spans="1:3">
      <c r="A27" s="52">
        <f t="shared" si="0"/>
        <v>7.9999999999999991</v>
      </c>
      <c r="B27" s="11" t="s">
        <v>41</v>
      </c>
      <c r="C27" s="12">
        <v>14</v>
      </c>
    </row>
    <row r="28" spans="1:3">
      <c r="A28" s="52">
        <f t="shared" si="0"/>
        <v>9</v>
      </c>
      <c r="B28" s="11" t="s">
        <v>28</v>
      </c>
      <c r="C28" s="12">
        <v>13</v>
      </c>
    </row>
    <row r="29" spans="1:3">
      <c r="A29" s="52">
        <f t="shared" si="0"/>
        <v>9</v>
      </c>
      <c r="B29" s="11" t="s">
        <v>35</v>
      </c>
      <c r="C29" s="12">
        <v>13</v>
      </c>
    </row>
    <row r="30" spans="1:3">
      <c r="A30" s="52">
        <f t="shared" si="0"/>
        <v>10</v>
      </c>
      <c r="B30" s="14" t="s">
        <v>26</v>
      </c>
      <c r="C30" s="12">
        <v>12</v>
      </c>
    </row>
    <row r="31" spans="1:3">
      <c r="A31" s="52">
        <f t="shared" si="0"/>
        <v>11</v>
      </c>
      <c r="B31" s="14" t="s">
        <v>23</v>
      </c>
      <c r="C31" s="12">
        <v>11</v>
      </c>
    </row>
    <row r="32" spans="1:3">
      <c r="A32" s="52">
        <f t="shared" si="0"/>
        <v>11</v>
      </c>
      <c r="B32" s="11" t="s">
        <v>45</v>
      </c>
      <c r="C32" s="12">
        <v>11</v>
      </c>
    </row>
    <row r="33" spans="1:3">
      <c r="A33" s="52">
        <f t="shared" si="0"/>
        <v>12</v>
      </c>
      <c r="B33" s="11" t="s">
        <v>42</v>
      </c>
      <c r="C33" s="12">
        <v>8</v>
      </c>
    </row>
    <row r="34" spans="1:3">
      <c r="A34" s="52"/>
      <c r="B34" s="13"/>
      <c r="C34" s="53"/>
    </row>
    <row r="35" spans="1:3">
      <c r="A35" s="52"/>
      <c r="B35" s="12"/>
      <c r="C35" s="53"/>
    </row>
    <row r="36" spans="1:3">
      <c r="A36" s="52"/>
      <c r="B36" s="12"/>
      <c r="C36" s="53"/>
    </row>
    <row r="37" spans="1:3">
      <c r="A37" s="52"/>
      <c r="B37" s="12"/>
      <c r="C37" s="53"/>
    </row>
    <row r="38" spans="1:3">
      <c r="A38" s="52"/>
      <c r="B38" s="13"/>
      <c r="C38" s="53"/>
    </row>
    <row r="39" spans="1:3">
      <c r="A39" s="52"/>
      <c r="B39" s="12"/>
      <c r="C39" s="53"/>
    </row>
    <row r="40" spans="1:3">
      <c r="A40" s="52"/>
      <c r="B40" s="12"/>
      <c r="C40" s="53"/>
    </row>
    <row r="41" spans="1:3">
      <c r="A41" s="52"/>
      <c r="B41" s="12"/>
      <c r="C41" s="53"/>
    </row>
    <row r="42" spans="1:3">
      <c r="A42" s="52"/>
      <c r="B42" s="13"/>
      <c r="C42" s="53"/>
    </row>
    <row r="43" spans="1:3">
      <c r="A43" s="52"/>
      <c r="B43" s="13"/>
      <c r="C43" s="53"/>
    </row>
    <row r="44" spans="1:3">
      <c r="A44" s="52"/>
      <c r="B44" s="12"/>
      <c r="C44" s="53"/>
    </row>
    <row r="45" spans="1:3">
      <c r="A45" s="52"/>
      <c r="B45" s="13"/>
      <c r="C45" s="53"/>
    </row>
    <row r="46" spans="1:3">
      <c r="A46" s="52"/>
      <c r="B46" s="13"/>
      <c r="C46" s="53"/>
    </row>
    <row r="47" spans="1:3">
      <c r="A47" s="52"/>
      <c r="B47" s="12"/>
      <c r="C47" s="53"/>
    </row>
    <row r="48" spans="1:3">
      <c r="A48" s="52"/>
      <c r="B48" s="13"/>
      <c r="C48" s="53"/>
    </row>
    <row r="49" spans="1:3">
      <c r="A49" s="52"/>
      <c r="B49" s="12"/>
      <c r="C49" s="53"/>
    </row>
    <row r="50" spans="1:3">
      <c r="A50" s="52"/>
      <c r="B50" s="13"/>
      <c r="C50" s="53"/>
    </row>
    <row r="51" spans="1:3">
      <c r="A51" s="52"/>
      <c r="B51" s="12"/>
      <c r="C51" s="53"/>
    </row>
    <row r="52" spans="1:3">
      <c r="A52" s="52"/>
      <c r="B52" s="13"/>
      <c r="C52" s="53"/>
    </row>
    <row r="53" spans="1:3">
      <c r="A53" s="52"/>
      <c r="B53" s="13"/>
      <c r="C53" s="53"/>
    </row>
    <row r="54" spans="1:3">
      <c r="A54" s="52"/>
      <c r="B54" s="13"/>
      <c r="C54" s="53"/>
    </row>
    <row r="55" spans="1:3">
      <c r="A55" s="52"/>
      <c r="B55" s="13"/>
      <c r="C55" s="53"/>
    </row>
    <row r="56" spans="1:3">
      <c r="A56" s="52"/>
      <c r="B56" s="13"/>
      <c r="C56" s="53"/>
    </row>
    <row r="57" spans="1:3">
      <c r="A57" s="52"/>
      <c r="B57" s="13"/>
      <c r="C57" s="53"/>
    </row>
    <row r="58" spans="1:3">
      <c r="A58" s="52"/>
      <c r="B58" s="12"/>
      <c r="C58" s="53"/>
    </row>
    <row r="59" spans="1:3">
      <c r="A59" s="52"/>
      <c r="B59" s="13"/>
      <c r="C59" s="53"/>
    </row>
    <row r="60" spans="1:3">
      <c r="A60" s="52"/>
      <c r="B60" s="13"/>
      <c r="C60" s="53"/>
    </row>
    <row r="61" spans="1:3">
      <c r="A61" s="52"/>
      <c r="B61" s="13"/>
      <c r="C61" s="53"/>
    </row>
    <row r="62" spans="1:3">
      <c r="A62" s="52"/>
      <c r="B62" s="12"/>
      <c r="C62" s="53"/>
    </row>
    <row r="63" spans="1:3">
      <c r="A63" s="52"/>
      <c r="B63" s="12"/>
      <c r="C63" s="53"/>
    </row>
    <row r="64" spans="1:3">
      <c r="A64" s="52"/>
      <c r="B64" s="13"/>
      <c r="C64" s="53"/>
    </row>
    <row r="65" spans="1:3">
      <c r="A65" s="52"/>
      <c r="B65" s="13"/>
      <c r="C65" s="53"/>
    </row>
    <row r="66" spans="1:3">
      <c r="A66" s="52"/>
      <c r="B66" s="13"/>
      <c r="C66" s="53"/>
    </row>
    <row r="67" spans="1:3">
      <c r="A67" s="52"/>
      <c r="B67" s="13"/>
      <c r="C67" s="53"/>
    </row>
    <row r="68" spans="1:3">
      <c r="A68" s="52"/>
      <c r="B68" s="12"/>
      <c r="C68" s="53"/>
    </row>
    <row r="69" spans="1:3">
      <c r="A69" s="52"/>
      <c r="B69" s="13"/>
      <c r="C69" s="53"/>
    </row>
    <row r="70" spans="1:3">
      <c r="A70" s="52"/>
      <c r="B70" s="13"/>
      <c r="C70" s="53"/>
    </row>
    <row r="71" spans="1:3">
      <c r="A71" s="52"/>
      <c r="B71" s="13"/>
      <c r="C71" s="53"/>
    </row>
    <row r="72" spans="1:3">
      <c r="A72" s="52"/>
      <c r="B72" s="13"/>
      <c r="C72" s="53"/>
    </row>
    <row r="73" spans="1:3">
      <c r="A73" s="52"/>
      <c r="B73" s="13"/>
      <c r="C73" s="53"/>
    </row>
    <row r="74" spans="1:3">
      <c r="A74" s="52"/>
      <c r="B74" s="13"/>
      <c r="C74" s="53"/>
    </row>
    <row r="75" spans="1:3">
      <c r="A75" s="52"/>
      <c r="B75" s="13"/>
      <c r="C75" s="53"/>
    </row>
    <row r="76" spans="1:3">
      <c r="A76" s="52"/>
      <c r="B76" s="13"/>
      <c r="C76" s="53"/>
    </row>
    <row r="77" spans="1:3">
      <c r="A77" s="52"/>
      <c r="B77" s="13"/>
      <c r="C77" s="53"/>
    </row>
    <row r="78" spans="1:3">
      <c r="A78" s="52"/>
      <c r="B78" s="13"/>
      <c r="C78" s="53"/>
    </row>
    <row r="79" spans="1:3">
      <c r="A79" s="52"/>
      <c r="B79" s="13"/>
      <c r="C79" s="53"/>
    </row>
    <row r="80" spans="1:3">
      <c r="A80" s="52"/>
      <c r="B80" s="13"/>
      <c r="C80" s="53"/>
    </row>
    <row r="81" spans="1:3">
      <c r="A81" s="52"/>
      <c r="B81" s="13"/>
      <c r="C81" s="53"/>
    </row>
    <row r="82" spans="1:3">
      <c r="A82" s="52"/>
      <c r="B82" s="13"/>
      <c r="C82" s="53"/>
    </row>
    <row r="83" spans="1:3">
      <c r="A83" s="52"/>
      <c r="B83" s="13"/>
      <c r="C83" s="53"/>
    </row>
    <row r="84" spans="1:3">
      <c r="A84" s="52"/>
      <c r="B84" s="13"/>
      <c r="C84" s="53"/>
    </row>
    <row r="85" spans="1:3">
      <c r="A85" s="52"/>
      <c r="B85" s="13"/>
      <c r="C85" s="53"/>
    </row>
    <row r="86" spans="1:3">
      <c r="A86" s="52"/>
      <c r="B86" s="13"/>
      <c r="C86" s="53"/>
    </row>
    <row r="87" spans="1:3">
      <c r="A87" s="52"/>
      <c r="B87" s="13"/>
      <c r="C87" s="53"/>
    </row>
    <row r="88" spans="1:3">
      <c r="A88" s="52"/>
      <c r="B88" s="13"/>
      <c r="C88" s="53"/>
    </row>
    <row r="89" spans="1:3">
      <c r="A89" s="52"/>
      <c r="B89" s="13"/>
      <c r="C89" s="53"/>
    </row>
    <row r="90" spans="1:3">
      <c r="A90" s="52"/>
      <c r="B90" s="13"/>
      <c r="C90" s="53"/>
    </row>
    <row r="91" spans="1:3">
      <c r="A91" s="52"/>
      <c r="B91" s="13"/>
      <c r="C91" s="53"/>
    </row>
    <row r="92" spans="1:3">
      <c r="A92" s="52"/>
      <c r="B92" s="13"/>
      <c r="C92" s="53"/>
    </row>
    <row r="93" spans="1:3">
      <c r="A93" s="52"/>
      <c r="B93" s="13"/>
      <c r="C93" s="53"/>
    </row>
    <row r="94" spans="1:3">
      <c r="A94" s="52"/>
      <c r="B94" s="12"/>
      <c r="C94" s="53"/>
    </row>
    <row r="95" spans="1:3">
      <c r="A95" s="52"/>
      <c r="B95" s="13"/>
      <c r="C95" s="53"/>
    </row>
    <row r="96" spans="1:3">
      <c r="A96" s="52"/>
      <c r="B96" s="13"/>
      <c r="C96" s="53"/>
    </row>
    <row r="97" spans="1:3">
      <c r="A97" s="52"/>
      <c r="B97" s="12"/>
      <c r="C97" s="53"/>
    </row>
    <row r="98" spans="1:3">
      <c r="A98" s="52"/>
      <c r="B98" s="13"/>
      <c r="C98" s="53"/>
    </row>
    <row r="99" spans="1:3">
      <c r="A99" s="52"/>
      <c r="B99" s="13"/>
      <c r="C99" s="19"/>
    </row>
    <row r="100" spans="1:3">
      <c r="A100" s="52"/>
      <c r="B100" s="13"/>
      <c r="C100" s="19"/>
    </row>
    <row r="101" spans="1:3">
      <c r="A101" s="52"/>
      <c r="B101" s="13"/>
      <c r="C101" s="19"/>
    </row>
    <row r="102" spans="1:3">
      <c r="A102" s="52"/>
      <c r="B102" s="13"/>
      <c r="C102" s="19"/>
    </row>
    <row r="103" spans="1:3">
      <c r="A103" s="52"/>
      <c r="B103" s="13"/>
      <c r="C103" s="19"/>
    </row>
    <row r="104" spans="1:3">
      <c r="A104" s="52"/>
      <c r="B104" s="13"/>
      <c r="C104" s="19"/>
    </row>
    <row r="105" spans="1:3">
      <c r="A105" s="52"/>
      <c r="B105" s="13"/>
      <c r="C105" s="19"/>
    </row>
    <row r="106" spans="1:3">
      <c r="A106" s="52"/>
      <c r="B106" s="13"/>
      <c r="C106" s="19"/>
    </row>
    <row r="107" spans="1:3">
      <c r="A107" s="52"/>
      <c r="B107" s="8"/>
      <c r="C107" s="54"/>
    </row>
    <row r="108" spans="1:3">
      <c r="A108" s="52"/>
      <c r="B108" s="8"/>
      <c r="C108" s="54"/>
    </row>
    <row r="109" spans="1:3">
      <c r="A109" s="52"/>
      <c r="B109" s="8"/>
      <c r="C109" s="54"/>
    </row>
    <row r="110" spans="1:3">
      <c r="A110" s="55"/>
      <c r="B110" s="8"/>
      <c r="C110" s="54"/>
    </row>
    <row r="111" spans="1:3">
      <c r="A111" s="55"/>
      <c r="B111" s="8"/>
      <c r="C111" s="54"/>
    </row>
    <row r="112" spans="1:3">
      <c r="A112" s="55"/>
      <c r="B112" s="8"/>
      <c r="C112" s="54"/>
    </row>
    <row r="113" spans="1:3">
      <c r="A113" s="55"/>
      <c r="B113" s="8"/>
      <c r="C113" s="54"/>
    </row>
    <row r="114" spans="1:3">
      <c r="A114" s="55"/>
      <c r="B114" s="8"/>
      <c r="C114" s="54"/>
    </row>
    <row r="115" spans="1:3">
      <c r="A115" s="55"/>
      <c r="B115" s="8"/>
      <c r="C115" s="54"/>
    </row>
    <row r="116" spans="1:3">
      <c r="A116" s="55"/>
      <c r="B116" s="8"/>
      <c r="C116" s="54"/>
    </row>
    <row r="117" spans="1:3">
      <c r="A117" s="55"/>
      <c r="B117" s="8"/>
      <c r="C117" s="54"/>
    </row>
    <row r="118" spans="1:3">
      <c r="A118" s="55"/>
      <c r="B118" s="8"/>
      <c r="C118" s="54"/>
    </row>
    <row r="119" spans="1:3">
      <c r="A119" s="55"/>
      <c r="B119" s="8"/>
      <c r="C119" s="54"/>
    </row>
    <row r="120" spans="1:3">
      <c r="A120" s="55"/>
      <c r="B120" s="8"/>
      <c r="C120" s="54"/>
    </row>
    <row r="121" spans="1:3">
      <c r="A121" s="55"/>
      <c r="B121" s="8"/>
      <c r="C121" s="54"/>
    </row>
    <row r="122" spans="1:3">
      <c r="A122" s="55"/>
      <c r="B122" s="8"/>
      <c r="C122" s="54"/>
    </row>
    <row r="123" spans="1:3">
      <c r="A123" s="55"/>
      <c r="B123" s="8"/>
      <c r="C123" s="54"/>
    </row>
    <row r="124" spans="1:3">
      <c r="A124" s="55"/>
      <c r="B124" s="8"/>
      <c r="C124" s="54"/>
    </row>
    <row r="125" spans="1:3">
      <c r="A125" s="55"/>
      <c r="B125" s="8"/>
      <c r="C125" s="54"/>
    </row>
    <row r="126" spans="1:3">
      <c r="A126" s="55"/>
      <c r="B126" s="8"/>
      <c r="C126" s="54"/>
    </row>
    <row r="127" spans="1:3">
      <c r="A127" s="55"/>
      <c r="B127" s="8"/>
      <c r="C127" s="54"/>
    </row>
    <row r="128" spans="1:3">
      <c r="A128" s="55"/>
      <c r="B128" s="8"/>
      <c r="C128" s="54"/>
    </row>
    <row r="129" spans="1:3">
      <c r="A129" s="55"/>
      <c r="B129" s="8"/>
      <c r="C129" s="54"/>
    </row>
    <row r="130" spans="1:3">
      <c r="A130" s="55"/>
      <c r="B130" s="8"/>
      <c r="C130" s="54"/>
    </row>
    <row r="131" spans="1:3">
      <c r="A131" s="55"/>
      <c r="B131" s="8"/>
      <c r="C131" s="54"/>
    </row>
    <row r="132" spans="1:3">
      <c r="A132" s="55"/>
      <c r="B132" s="8"/>
      <c r="C132" s="54"/>
    </row>
    <row r="133" spans="1:3">
      <c r="A133" s="55"/>
      <c r="B133" s="8"/>
      <c r="C133" s="54"/>
    </row>
    <row r="134" spans="1:3">
      <c r="A134" s="55"/>
      <c r="B134" s="8"/>
      <c r="C134" s="54"/>
    </row>
    <row r="135" spans="1:3">
      <c r="A135" s="55"/>
      <c r="B135" s="8"/>
      <c r="C135" s="54"/>
    </row>
    <row r="136" spans="1:3">
      <c r="A136" s="55"/>
      <c r="B136" s="8"/>
      <c r="C136" s="54"/>
    </row>
    <row r="137" spans="1:3">
      <c r="A137" s="55"/>
      <c r="B137" s="8"/>
      <c r="C137" s="54"/>
    </row>
    <row r="138" spans="1:3">
      <c r="A138" s="55"/>
      <c r="B138" s="8"/>
      <c r="C138" s="54"/>
    </row>
    <row r="139" spans="1:3">
      <c r="A139" s="55"/>
      <c r="B139" s="8"/>
      <c r="C139" s="54"/>
    </row>
    <row r="140" spans="1:3">
      <c r="A140" s="55"/>
      <c r="B140" s="8"/>
      <c r="C140" s="54"/>
    </row>
    <row r="141" spans="1:3">
      <c r="A141" s="55"/>
      <c r="B141" s="8"/>
      <c r="C141" s="54"/>
    </row>
    <row r="142" spans="1:3">
      <c r="A142" s="55"/>
      <c r="B142" s="8"/>
      <c r="C142" s="54"/>
    </row>
    <row r="143" spans="1:3">
      <c r="A143" s="55"/>
      <c r="B143" s="8"/>
      <c r="C143" s="54"/>
    </row>
    <row r="144" spans="1:3">
      <c r="A144" s="55"/>
      <c r="B144" s="8"/>
      <c r="C144" s="54"/>
    </row>
    <row r="145" spans="1:3">
      <c r="A145" s="55"/>
      <c r="B145" s="8"/>
      <c r="C145" s="54"/>
    </row>
    <row r="146" spans="1:3">
      <c r="A146" s="55"/>
      <c r="B146" s="8"/>
      <c r="C146" s="54"/>
    </row>
    <row r="147" spans="1:3">
      <c r="A147" s="55"/>
      <c r="B147" s="8"/>
      <c r="C147" s="54"/>
    </row>
    <row r="148" spans="1:3">
      <c r="A148" s="55"/>
      <c r="B148" s="8"/>
      <c r="C148" s="54"/>
    </row>
    <row r="149" spans="1:3">
      <c r="A149" s="55"/>
      <c r="B149" s="8"/>
      <c r="C149" s="54"/>
    </row>
    <row r="150" spans="1:3">
      <c r="A150" s="55"/>
      <c r="B150" s="8"/>
      <c r="C150" s="54"/>
    </row>
    <row r="151" spans="1:3">
      <c r="A151" s="55"/>
      <c r="B151" s="8"/>
      <c r="C151" s="54"/>
    </row>
    <row r="152" spans="1:3">
      <c r="A152" s="55"/>
      <c r="B152" s="8"/>
      <c r="C152" s="54"/>
    </row>
    <row r="153" spans="1:3">
      <c r="A153" s="55"/>
      <c r="B153" s="8"/>
      <c r="C153" s="54"/>
    </row>
    <row r="154" spans="1:3">
      <c r="A154" s="55"/>
      <c r="B154" s="8"/>
      <c r="C154" s="54"/>
    </row>
    <row r="155" spans="1:3">
      <c r="A155" s="55"/>
      <c r="B155" s="8"/>
      <c r="C155" s="54"/>
    </row>
    <row r="156" spans="1:3">
      <c r="A156" s="55"/>
      <c r="B156" s="8"/>
      <c r="C156" s="54"/>
    </row>
    <row r="157" spans="1:3">
      <c r="A157" s="55"/>
      <c r="B157" s="8"/>
      <c r="C157" s="54"/>
    </row>
    <row r="158" spans="1:3">
      <c r="A158" s="55"/>
      <c r="B158" s="8"/>
      <c r="C158" s="54"/>
    </row>
    <row r="159" spans="1:3">
      <c r="A159" s="55"/>
      <c r="B159" s="8"/>
      <c r="C159" s="54"/>
    </row>
    <row r="160" spans="1:3">
      <c r="A160" s="55"/>
      <c r="B160" s="8"/>
      <c r="C160" s="54"/>
    </row>
    <row r="161" spans="1:3">
      <c r="A161" s="55"/>
      <c r="B161" s="8"/>
      <c r="C161" s="54"/>
    </row>
    <row r="162" spans="1:3">
      <c r="A162" s="55"/>
      <c r="B162" s="8"/>
      <c r="C162" s="54"/>
    </row>
    <row r="163" spans="1:3">
      <c r="A163" s="55"/>
      <c r="B163" s="8"/>
      <c r="C163" s="54"/>
    </row>
    <row r="164" spans="1:3">
      <c r="A164" s="55"/>
      <c r="B164" s="8"/>
      <c r="C164" s="54"/>
    </row>
    <row r="165" spans="1:3">
      <c r="A165" s="55"/>
      <c r="B165" s="8"/>
      <c r="C165" s="54"/>
    </row>
    <row r="166" spans="1:3">
      <c r="A166" s="55"/>
      <c r="B166" s="8"/>
      <c r="C166" s="54"/>
    </row>
    <row r="167" spans="1:3">
      <c r="A167" s="55"/>
      <c r="B167" s="8"/>
      <c r="C167" s="54"/>
    </row>
    <row r="168" spans="1:3">
      <c r="A168" s="55"/>
      <c r="B168" s="8"/>
      <c r="C168" s="54"/>
    </row>
    <row r="169" spans="1:3">
      <c r="A169" s="55"/>
      <c r="B169" s="8"/>
      <c r="C169" s="54"/>
    </row>
    <row r="170" spans="1:3">
      <c r="A170" s="55"/>
      <c r="B170" s="8"/>
      <c r="C170" s="54"/>
    </row>
    <row r="171" spans="1:3">
      <c r="A171" s="55"/>
      <c r="B171" s="8"/>
      <c r="C171" s="54"/>
    </row>
    <row r="172" spans="1:3">
      <c r="A172" s="55"/>
      <c r="B172" s="8"/>
      <c r="C172" s="54"/>
    </row>
    <row r="173" spans="1:3">
      <c r="A173" s="55"/>
      <c r="B173" s="8"/>
      <c r="C173" s="54"/>
    </row>
    <row r="174" spans="1:3">
      <c r="A174" s="55"/>
      <c r="B174" s="8"/>
      <c r="C174" s="54"/>
    </row>
    <row r="175" spans="1:3">
      <c r="A175" s="55"/>
      <c r="B175" s="8"/>
      <c r="C175" s="54"/>
    </row>
    <row r="176" spans="1:3">
      <c r="A176" s="55"/>
      <c r="B176" s="8"/>
      <c r="C176" s="54"/>
    </row>
    <row r="177" spans="1:3">
      <c r="A177" s="55"/>
      <c r="B177" s="8"/>
      <c r="C177" s="54"/>
    </row>
    <row r="178" spans="1:3">
      <c r="A178" s="55"/>
      <c r="B178" s="8"/>
      <c r="C178" s="54"/>
    </row>
    <row r="179" spans="1:3">
      <c r="A179" s="55"/>
      <c r="B179" s="8"/>
      <c r="C179" s="54"/>
    </row>
    <row r="180" spans="1:3">
      <c r="A180" s="55"/>
      <c r="B180" s="8"/>
      <c r="C180" s="54"/>
    </row>
    <row r="181" spans="1:3">
      <c r="A181" s="55"/>
      <c r="B181" s="8"/>
      <c r="C181" s="54"/>
    </row>
    <row r="182" spans="1:3">
      <c r="A182" s="55"/>
      <c r="B182" s="8"/>
      <c r="C182" s="54"/>
    </row>
    <row r="183" spans="1:3">
      <c r="A183" s="55"/>
      <c r="B183" s="8"/>
      <c r="C183" s="54"/>
    </row>
    <row r="184" spans="1:3">
      <c r="A184" s="55"/>
      <c r="B184" s="8"/>
      <c r="C184" s="54"/>
    </row>
    <row r="185" spans="1:3">
      <c r="A185" s="55"/>
      <c r="B185" s="8"/>
      <c r="C185" s="54"/>
    </row>
    <row r="186" spans="1:3">
      <c r="A186" s="55"/>
      <c r="B186" s="8"/>
      <c r="C186" s="54"/>
    </row>
    <row r="187" spans="1:3">
      <c r="A187" s="55"/>
      <c r="B187" s="8"/>
      <c r="C187" s="54"/>
    </row>
    <row r="188" spans="1:3">
      <c r="A188" s="55"/>
      <c r="B188" s="8"/>
      <c r="C188" s="54"/>
    </row>
    <row r="189" spans="1:3">
      <c r="A189" s="55"/>
      <c r="B189" s="8"/>
      <c r="C189" s="54"/>
    </row>
    <row r="190" spans="1:3">
      <c r="A190" s="55"/>
      <c r="B190" s="8"/>
      <c r="C190" s="54"/>
    </row>
    <row r="191" spans="1:3">
      <c r="A191" s="55"/>
      <c r="B191" s="8"/>
      <c r="C191" s="54"/>
    </row>
    <row r="192" spans="1:3">
      <c r="A192" s="55"/>
      <c r="B192" s="8"/>
      <c r="C192" s="54"/>
    </row>
    <row r="193" spans="1:3">
      <c r="A193" s="55"/>
      <c r="B193" s="8"/>
      <c r="C193" s="54"/>
    </row>
    <row r="194" spans="1:3">
      <c r="A194" s="55"/>
      <c r="B194" s="8"/>
      <c r="C194" s="54"/>
    </row>
    <row r="195" spans="1:3">
      <c r="A195" s="55"/>
      <c r="B195" s="8"/>
      <c r="C195" s="54"/>
    </row>
    <row r="196" spans="1:3">
      <c r="A196" s="55"/>
      <c r="B196" s="8"/>
      <c r="C196" s="54"/>
    </row>
    <row r="197" spans="1:3">
      <c r="A197" s="55"/>
      <c r="B197" s="8"/>
      <c r="C197" s="54"/>
    </row>
    <row r="198" spans="1:3">
      <c r="A198" s="55"/>
      <c r="B198" s="8"/>
      <c r="C198" s="54"/>
    </row>
    <row r="199" spans="1:3">
      <c r="A199" s="55"/>
      <c r="B199" s="8"/>
      <c r="C199" s="54"/>
    </row>
    <row r="200" spans="1:3">
      <c r="A200" s="55"/>
      <c r="B200" s="8"/>
      <c r="C200" s="54"/>
    </row>
    <row r="201" spans="1:3">
      <c r="A201" s="55"/>
      <c r="B201" s="8"/>
      <c r="C201" s="54"/>
    </row>
    <row r="202" spans="1:3">
      <c r="A202" s="55"/>
      <c r="B202" s="8"/>
      <c r="C202" s="54"/>
    </row>
    <row r="203" spans="1:3">
      <c r="A203" s="55"/>
      <c r="B203" s="8"/>
      <c r="C203" s="54"/>
    </row>
    <row r="204" spans="1:3">
      <c r="A204" s="55"/>
      <c r="B204" s="8"/>
      <c r="C204" s="54"/>
    </row>
    <row r="205" spans="1:3">
      <c r="A205" s="55"/>
      <c r="B205" s="8"/>
      <c r="C205" s="54"/>
    </row>
    <row r="206" spans="1:3">
      <c r="A206" s="55"/>
      <c r="B206" s="8"/>
      <c r="C206" s="54"/>
    </row>
    <row r="207" spans="1:3">
      <c r="A207" s="55"/>
      <c r="B207" s="8"/>
      <c r="C207" s="54"/>
    </row>
    <row r="208" spans="1:3">
      <c r="A208" s="55"/>
      <c r="B208" s="8"/>
      <c r="C208" s="54"/>
    </row>
    <row r="209" spans="1:3">
      <c r="A209" s="55"/>
      <c r="B209" s="8"/>
      <c r="C209" s="54"/>
    </row>
    <row r="210" spans="1:3">
      <c r="A210" s="55"/>
      <c r="B210" s="8"/>
      <c r="C210" s="54"/>
    </row>
    <row r="211" spans="1:3">
      <c r="A211" s="55"/>
      <c r="B211" s="8"/>
      <c r="C211" s="54"/>
    </row>
    <row r="212" spans="1:3">
      <c r="A212" s="55"/>
      <c r="B212" s="8"/>
      <c r="C212" s="54"/>
    </row>
    <row r="213" spans="1:3">
      <c r="A213" s="55"/>
      <c r="B213" s="8"/>
      <c r="C213" s="54"/>
    </row>
    <row r="214" spans="1:3">
      <c r="A214" s="55"/>
      <c r="B214" s="8"/>
      <c r="C214" s="54"/>
    </row>
    <row r="215" spans="1:3">
      <c r="A215" s="55"/>
      <c r="B215" s="8"/>
      <c r="C215" s="54"/>
    </row>
    <row r="216" spans="1:3">
      <c r="A216" s="55"/>
      <c r="B216" s="8"/>
      <c r="C216" s="54"/>
    </row>
    <row r="217" spans="1:3">
      <c r="A217" s="55"/>
      <c r="B217" s="8"/>
      <c r="C217" s="54"/>
    </row>
    <row r="218" spans="1:3">
      <c r="A218" s="55"/>
      <c r="B218" s="8"/>
      <c r="C218" s="54"/>
    </row>
    <row r="219" spans="1:3">
      <c r="A219" s="55"/>
      <c r="B219" s="8"/>
      <c r="C219" s="54"/>
    </row>
    <row r="220" spans="1:3">
      <c r="A220" s="55"/>
      <c r="B220" s="8"/>
      <c r="C220" s="54"/>
    </row>
    <row r="221" spans="1:3">
      <c r="A221" s="55"/>
      <c r="B221" s="8"/>
      <c r="C221" s="54"/>
    </row>
    <row r="222" spans="1:3">
      <c r="A222" s="55"/>
      <c r="B222" s="8"/>
      <c r="C222" s="54"/>
    </row>
    <row r="223" spans="1:3">
      <c r="A223" s="55"/>
      <c r="B223" s="8"/>
      <c r="C223" s="54"/>
    </row>
    <row r="224" spans="1:3">
      <c r="A224" s="55"/>
      <c r="B224" s="8"/>
      <c r="C224" s="54"/>
    </row>
    <row r="225" spans="1:3">
      <c r="A225" s="55"/>
      <c r="B225" s="8"/>
      <c r="C225" s="54"/>
    </row>
    <row r="226" spans="1:3">
      <c r="A226" s="55"/>
      <c r="B226" s="8"/>
      <c r="C226" s="54"/>
    </row>
    <row r="227" spans="1:3">
      <c r="A227" s="55"/>
      <c r="B227" s="8"/>
      <c r="C227" s="54"/>
    </row>
    <row r="228" spans="1:3">
      <c r="A228" s="55"/>
      <c r="B228" s="8"/>
      <c r="C228" s="54"/>
    </row>
    <row r="229" spans="1:3">
      <c r="A229" s="55"/>
      <c r="B229" s="8"/>
      <c r="C229" s="54"/>
    </row>
    <row r="230" spans="1:3">
      <c r="A230" s="55"/>
      <c r="B230" s="8"/>
      <c r="C230" s="54"/>
    </row>
    <row r="231" spans="1:3">
      <c r="A231" s="55"/>
      <c r="B231" s="8"/>
      <c r="C231" s="54"/>
    </row>
    <row r="232" spans="1:3">
      <c r="A232" s="55"/>
      <c r="B232" s="8"/>
      <c r="C232" s="54"/>
    </row>
    <row r="233" spans="1:3">
      <c r="A233" s="55"/>
      <c r="B233" s="8"/>
      <c r="C233" s="54"/>
    </row>
    <row r="234" spans="1:3">
      <c r="A234" s="55"/>
      <c r="B234" s="8"/>
      <c r="C234" s="54"/>
    </row>
    <row r="235" spans="1:3">
      <c r="A235" s="55"/>
      <c r="B235" s="8"/>
      <c r="C235" s="54"/>
    </row>
    <row r="236" spans="1:3">
      <c r="A236" s="55"/>
      <c r="B236" s="8"/>
      <c r="C236" s="54"/>
    </row>
    <row r="237" spans="1:3">
      <c r="A237" s="55"/>
      <c r="B237" s="8"/>
      <c r="C237" s="54"/>
    </row>
    <row r="238" spans="1:3">
      <c r="A238" s="55"/>
      <c r="B238" s="8"/>
      <c r="C238" s="54"/>
    </row>
    <row r="239" spans="1:3">
      <c r="A239" s="55"/>
      <c r="B239" s="8"/>
      <c r="C239" s="54"/>
    </row>
    <row r="240" spans="1:3">
      <c r="A240" s="55"/>
      <c r="B240" s="8"/>
      <c r="C240" s="54"/>
    </row>
    <row r="241" spans="1:3">
      <c r="A241" s="55"/>
      <c r="B241" s="8"/>
      <c r="C241" s="54"/>
    </row>
    <row r="242" spans="1:3">
      <c r="A242" s="55"/>
      <c r="B242" s="8"/>
      <c r="C242" s="54"/>
    </row>
    <row r="243" spans="1:3">
      <c r="A243" s="55"/>
      <c r="B243" s="8"/>
      <c r="C243" s="54"/>
    </row>
    <row r="244" spans="1:3">
      <c r="A244" s="55"/>
      <c r="B244" s="8"/>
      <c r="C244" s="54"/>
    </row>
    <row r="245" spans="1:3">
      <c r="A245" s="55"/>
      <c r="B245" s="8"/>
      <c r="C245" s="54"/>
    </row>
    <row r="246" spans="1:3">
      <c r="A246" s="55"/>
      <c r="B246" s="8"/>
      <c r="C246" s="54"/>
    </row>
    <row r="247" spans="1:3">
      <c r="A247" s="55"/>
      <c r="B247" s="8"/>
      <c r="C247" s="54"/>
    </row>
    <row r="248" spans="1:3">
      <c r="A248" s="55"/>
      <c r="B248" s="8"/>
      <c r="C248" s="54"/>
    </row>
    <row r="249" spans="1:3">
      <c r="A249" s="55"/>
      <c r="B249" s="8"/>
      <c r="C249" s="54"/>
    </row>
    <row r="250" spans="1:3">
      <c r="A250" s="55"/>
      <c r="B250" s="8"/>
      <c r="C250" s="54"/>
    </row>
    <row r="251" spans="1:3">
      <c r="A251" s="55"/>
      <c r="B251" s="8"/>
      <c r="C251" s="54"/>
    </row>
    <row r="252" spans="1:3">
      <c r="A252" s="55"/>
      <c r="B252" s="8"/>
      <c r="C252" s="54"/>
    </row>
    <row r="253" spans="1:3">
      <c r="A253" s="55"/>
      <c r="B253" s="8"/>
      <c r="C253" s="54"/>
    </row>
    <row r="254" spans="1:3">
      <c r="A254" s="55"/>
      <c r="B254" s="8"/>
      <c r="C254" s="54"/>
    </row>
    <row r="255" spans="1:3">
      <c r="A255" s="55"/>
      <c r="B255" s="8"/>
      <c r="C255" s="54"/>
    </row>
    <row r="256" spans="1:3">
      <c r="A256" s="55"/>
      <c r="B256" s="8"/>
      <c r="C256" s="54"/>
    </row>
    <row r="257" spans="1:3">
      <c r="A257" s="55"/>
      <c r="B257" s="8"/>
      <c r="C257" s="54"/>
    </row>
    <row r="258" spans="1:3">
      <c r="A258" s="55"/>
      <c r="B258" s="8"/>
      <c r="C258" s="54"/>
    </row>
    <row r="259" spans="1:3">
      <c r="A259" s="55"/>
      <c r="B259" s="8"/>
      <c r="C259" s="54"/>
    </row>
    <row r="260" spans="1:3">
      <c r="A260" s="55"/>
      <c r="B260" s="8"/>
      <c r="C260" s="54"/>
    </row>
    <row r="261" spans="1:3">
      <c r="A261" s="55"/>
      <c r="B261" s="8"/>
      <c r="C261" s="54"/>
    </row>
    <row r="262" spans="1:3">
      <c r="A262" s="55"/>
      <c r="B262" s="8"/>
      <c r="C262" s="54"/>
    </row>
    <row r="263" spans="1:3">
      <c r="A263" s="55"/>
      <c r="B263" s="8"/>
      <c r="C263" s="54"/>
    </row>
    <row r="264" spans="1:3">
      <c r="A264" s="55"/>
      <c r="B264" s="8"/>
      <c r="C264" s="54"/>
    </row>
    <row r="265" spans="1:3">
      <c r="A265" s="55"/>
      <c r="B265" s="8"/>
      <c r="C265" s="54"/>
    </row>
    <row r="266" spans="1:3">
      <c r="A266" s="55"/>
      <c r="B266" s="8"/>
      <c r="C266" s="54"/>
    </row>
    <row r="267" spans="1:3">
      <c r="A267" s="55"/>
      <c r="B267" s="8"/>
      <c r="C267" s="54"/>
    </row>
    <row r="268" spans="1:3">
      <c r="A268" s="55"/>
      <c r="B268" s="8"/>
      <c r="C268" s="54"/>
    </row>
    <row r="269" spans="1:3">
      <c r="A269" s="55"/>
      <c r="B269" s="8"/>
      <c r="C269" s="54"/>
    </row>
    <row r="270" spans="1:3">
      <c r="A270" s="55"/>
      <c r="B270" s="8"/>
      <c r="C270" s="54"/>
    </row>
    <row r="271" spans="1:3">
      <c r="A271" s="55"/>
      <c r="B271" s="8"/>
      <c r="C271" s="54"/>
    </row>
    <row r="272" spans="1:3">
      <c r="A272" s="55"/>
      <c r="B272" s="8"/>
      <c r="C272" s="54"/>
    </row>
    <row r="273" spans="1:3">
      <c r="A273" s="55"/>
      <c r="B273" s="8"/>
      <c r="C273" s="54"/>
    </row>
    <row r="274" spans="1:3">
      <c r="A274" s="55"/>
      <c r="B274" s="8"/>
      <c r="C274" s="54"/>
    </row>
    <row r="275" spans="1:3">
      <c r="A275" s="55"/>
      <c r="B275" s="8"/>
      <c r="C275" s="54"/>
    </row>
    <row r="276" spans="1:3">
      <c r="A276" s="55"/>
      <c r="B276" s="8"/>
      <c r="C276" s="54"/>
    </row>
    <row r="277" spans="1:3">
      <c r="A277" s="55"/>
      <c r="B277" s="8"/>
      <c r="C277" s="54"/>
    </row>
    <row r="278" spans="1:3">
      <c r="A278" s="55"/>
      <c r="B278" s="8"/>
      <c r="C278" s="54"/>
    </row>
    <row r="279" spans="1:3">
      <c r="A279" s="55"/>
      <c r="B279" s="8"/>
      <c r="C279" s="54"/>
    </row>
    <row r="280" spans="1:3">
      <c r="A280" s="55"/>
      <c r="B280" s="8"/>
      <c r="C280" s="54"/>
    </row>
    <row r="281" spans="1:3">
      <c r="A281" s="55"/>
      <c r="B281" s="8"/>
      <c r="C281" s="54"/>
    </row>
    <row r="282" spans="1:3">
      <c r="A282" s="55"/>
      <c r="B282" s="8"/>
      <c r="C282" s="54"/>
    </row>
    <row r="283" spans="1:3">
      <c r="A283" s="55"/>
      <c r="B283" s="8"/>
      <c r="C283" s="54"/>
    </row>
    <row r="284" spans="1:3">
      <c r="A284" s="55"/>
      <c r="B284" s="8"/>
      <c r="C284" s="54"/>
    </row>
    <row r="285" spans="1:3">
      <c r="A285" s="55"/>
      <c r="B285" s="8"/>
      <c r="C285" s="54"/>
    </row>
    <row r="286" spans="1:3">
      <c r="A286" s="55"/>
      <c r="B286" s="8"/>
      <c r="C286" s="54"/>
    </row>
    <row r="287" spans="1:3">
      <c r="A287" s="55"/>
      <c r="B287" s="8"/>
      <c r="C287" s="54"/>
    </row>
    <row r="288" spans="1:3">
      <c r="A288" s="55"/>
      <c r="B288" s="8"/>
      <c r="C288" s="54"/>
    </row>
    <row r="289" spans="1:3">
      <c r="A289" s="55"/>
      <c r="B289" s="8"/>
      <c r="C289" s="54"/>
    </row>
    <row r="290" spans="1:3">
      <c r="A290" s="55"/>
      <c r="B290" s="8"/>
      <c r="C290" s="54"/>
    </row>
    <row r="291" spans="1:3">
      <c r="A291" s="55"/>
      <c r="B291" s="8"/>
      <c r="C291" s="54"/>
    </row>
    <row r="292" spans="1:3">
      <c r="A292" s="55"/>
      <c r="B292" s="8"/>
      <c r="C292" s="54"/>
    </row>
    <row r="293" spans="1:3">
      <c r="A293" s="55"/>
      <c r="B293" s="8"/>
      <c r="C293" s="54"/>
    </row>
    <row r="294" spans="1:3">
      <c r="A294" s="55"/>
      <c r="B294" s="8"/>
      <c r="C294" s="54"/>
    </row>
    <row r="295" spans="1:3">
      <c r="A295" s="55"/>
      <c r="B295" s="8"/>
      <c r="C295" s="54"/>
    </row>
    <row r="296" spans="1:3">
      <c r="A296" s="55"/>
      <c r="B296" s="8"/>
      <c r="C296" s="54"/>
    </row>
    <row r="297" spans="1:3">
      <c r="A297" s="55"/>
      <c r="B297" s="8"/>
      <c r="C297" s="54"/>
    </row>
    <row r="298" spans="1:3">
      <c r="A298" s="55"/>
      <c r="B298" s="8"/>
      <c r="C298" s="54"/>
    </row>
    <row r="299" spans="1:3">
      <c r="A299" s="55"/>
      <c r="B299" s="8"/>
      <c r="C299" s="54"/>
    </row>
    <row r="300" spans="1:3">
      <c r="A300" s="55"/>
      <c r="B300" s="8"/>
      <c r="C300" s="54"/>
    </row>
    <row r="301" spans="1:3">
      <c r="A301" s="55"/>
      <c r="B301" s="8"/>
      <c r="C301" s="54"/>
    </row>
    <row r="302" spans="1:3">
      <c r="A302" s="55"/>
      <c r="B302" s="8"/>
      <c r="C302" s="54"/>
    </row>
    <row r="303" spans="1:3">
      <c r="A303" s="55"/>
      <c r="B303" s="8"/>
      <c r="C303" s="54"/>
    </row>
    <row r="304" spans="1:3">
      <c r="A304" s="55"/>
      <c r="B304" s="8"/>
      <c r="C304" s="54"/>
    </row>
    <row r="305" spans="1:3">
      <c r="A305" s="55"/>
      <c r="B305" s="8"/>
      <c r="C305" s="54"/>
    </row>
    <row r="306" spans="1:3">
      <c r="A306" s="55"/>
      <c r="B306" s="8"/>
      <c r="C306" s="54"/>
    </row>
    <row r="307" spans="1:3">
      <c r="A307" s="55"/>
      <c r="B307" s="8"/>
      <c r="C307" s="54"/>
    </row>
    <row r="308" spans="1:3">
      <c r="A308" s="55"/>
      <c r="B308" s="8"/>
      <c r="C308" s="54"/>
    </row>
    <row r="309" spans="1:3">
      <c r="A309" s="55"/>
      <c r="B309" s="8"/>
      <c r="C309" s="54"/>
    </row>
    <row r="310" spans="1:3">
      <c r="A310" s="55"/>
      <c r="B310" s="8"/>
      <c r="C310" s="54"/>
    </row>
    <row r="311" spans="1:3">
      <c r="A311" s="55"/>
      <c r="B311" s="8"/>
      <c r="C311" s="54"/>
    </row>
    <row r="312" spans="1:3">
      <c r="A312" s="55"/>
      <c r="B312" s="8"/>
      <c r="C312" s="54"/>
    </row>
    <row r="313" spans="1:3">
      <c r="A313" s="55"/>
      <c r="B313" s="8"/>
      <c r="C313" s="54"/>
    </row>
    <row r="314" spans="1:3">
      <c r="A314" s="55"/>
      <c r="B314" s="8"/>
      <c r="C314" s="54"/>
    </row>
    <row r="315" spans="1:3">
      <c r="A315" s="55"/>
      <c r="B315" s="8"/>
      <c r="C315" s="54"/>
    </row>
    <row r="316" spans="1:3">
      <c r="A316" s="55"/>
      <c r="B316" s="8"/>
      <c r="C316" s="54"/>
    </row>
    <row r="317" spans="1:3">
      <c r="A317" s="55"/>
      <c r="B317" s="8"/>
      <c r="C317" s="54"/>
    </row>
    <row r="318" spans="1:3">
      <c r="A318" s="55"/>
      <c r="B318" s="8"/>
      <c r="C318" s="54"/>
    </row>
    <row r="319" spans="1:3">
      <c r="A319" s="55"/>
      <c r="B319" s="8"/>
      <c r="C319" s="54"/>
    </row>
    <row r="320" spans="1:3">
      <c r="A320" s="55"/>
      <c r="B320" s="8"/>
      <c r="C320" s="54"/>
    </row>
    <row r="321" spans="1:3">
      <c r="A321" s="55"/>
      <c r="B321" s="8"/>
      <c r="C321" s="54"/>
    </row>
    <row r="322" spans="1:3">
      <c r="A322" s="55"/>
      <c r="B322" s="8"/>
      <c r="C322" s="54"/>
    </row>
    <row r="323" spans="1:3">
      <c r="A323" s="55"/>
      <c r="B323" s="8"/>
      <c r="C323" s="54"/>
    </row>
    <row r="324" spans="1:3">
      <c r="A324" s="55"/>
      <c r="B324" s="8"/>
      <c r="C324" s="54"/>
    </row>
    <row r="325" spans="1:3">
      <c r="A325" s="55"/>
      <c r="B325" s="8"/>
      <c r="C325" s="54"/>
    </row>
    <row r="326" spans="1:3">
      <c r="A326" s="55"/>
      <c r="B326" s="8"/>
      <c r="C326" s="54"/>
    </row>
    <row r="327" spans="1:3">
      <c r="A327" s="55"/>
      <c r="B327" s="8"/>
      <c r="C327" s="54"/>
    </row>
    <row r="328" spans="1:3">
      <c r="A328" s="55"/>
      <c r="B328" s="8"/>
      <c r="C328" s="54"/>
    </row>
    <row r="329" spans="1:3">
      <c r="A329" s="55"/>
      <c r="B329" s="8"/>
      <c r="C329" s="54"/>
    </row>
    <row r="330" spans="1:3">
      <c r="A330" s="55"/>
      <c r="B330" s="8"/>
      <c r="C330" s="54"/>
    </row>
    <row r="331" spans="1:3">
      <c r="A331" s="55"/>
      <c r="B331" s="8"/>
      <c r="C331" s="54"/>
    </row>
    <row r="332" spans="1:3">
      <c r="A332" s="55"/>
      <c r="B332" s="8"/>
      <c r="C332" s="54"/>
    </row>
    <row r="333" spans="1:3">
      <c r="A333" s="55"/>
      <c r="B333" s="8"/>
      <c r="C333" s="54"/>
    </row>
    <row r="334" spans="1:3">
      <c r="A334" s="55"/>
      <c r="B334" s="8"/>
      <c r="C334" s="54"/>
    </row>
    <row r="335" spans="1:3">
      <c r="A335" s="55"/>
      <c r="B335" s="8"/>
      <c r="C335" s="54"/>
    </row>
    <row r="336" spans="1:3">
      <c r="A336" s="55"/>
      <c r="B336" s="8"/>
      <c r="C336" s="54"/>
    </row>
    <row r="337" spans="1:3">
      <c r="A337" s="55"/>
      <c r="B337" s="8"/>
      <c r="C337" s="54"/>
    </row>
    <row r="338" spans="1:3">
      <c r="A338" s="55"/>
      <c r="B338" s="8"/>
      <c r="C338" s="54"/>
    </row>
    <row r="339" spans="1:3">
      <c r="A339" s="55"/>
      <c r="B339" s="8"/>
      <c r="C339" s="54"/>
    </row>
    <row r="340" spans="1:3">
      <c r="A340" s="55"/>
      <c r="B340" s="8"/>
      <c r="C340" s="54"/>
    </row>
    <row r="341" spans="1:3">
      <c r="A341" s="55"/>
      <c r="B341" s="8"/>
      <c r="C341" s="54"/>
    </row>
    <row r="342" spans="1:3">
      <c r="A342" s="55"/>
      <c r="B342" s="8"/>
      <c r="C342" s="54"/>
    </row>
    <row r="343" spans="1:3">
      <c r="A343" s="55"/>
      <c r="B343" s="8"/>
      <c r="C343" s="54"/>
    </row>
    <row r="344" spans="1:3">
      <c r="A344" s="55"/>
      <c r="B344" s="8"/>
      <c r="C344" s="54"/>
    </row>
    <row r="345" spans="1:3">
      <c r="A345" s="55"/>
      <c r="B345" s="8"/>
      <c r="C345" s="54"/>
    </row>
    <row r="346" spans="1:3">
      <c r="A346" s="55"/>
      <c r="B346" s="8"/>
      <c r="C346" s="54"/>
    </row>
    <row r="347" spans="1:3">
      <c r="A347" s="55"/>
      <c r="B347" s="8"/>
      <c r="C347" s="54"/>
    </row>
    <row r="348" spans="1:3">
      <c r="A348" s="55"/>
      <c r="B348" s="8"/>
      <c r="C348" s="54"/>
    </row>
    <row r="349" spans="1:3">
      <c r="A349" s="55"/>
      <c r="B349" s="8"/>
      <c r="C349" s="54"/>
    </row>
    <row r="350" spans="1:3">
      <c r="A350" s="55"/>
      <c r="B350" s="8"/>
      <c r="C350" s="54"/>
    </row>
    <row r="351" spans="1:3">
      <c r="A351" s="55"/>
      <c r="B351" s="8"/>
      <c r="C351" s="54"/>
    </row>
    <row r="352" spans="1:3">
      <c r="A352" s="55"/>
      <c r="B352" s="8"/>
      <c r="C352" s="54"/>
    </row>
    <row r="353" spans="1:3">
      <c r="A353" s="55"/>
      <c r="B353" s="8"/>
      <c r="C353" s="54"/>
    </row>
    <row r="354" spans="1:3">
      <c r="A354" s="55"/>
      <c r="B354" s="8"/>
      <c r="C354" s="54"/>
    </row>
    <row r="355" spans="1:3">
      <c r="A355" s="55"/>
      <c r="B355" s="8"/>
      <c r="C355" s="54"/>
    </row>
    <row r="356" spans="1:3">
      <c r="A356" s="55"/>
      <c r="B356" s="8"/>
      <c r="C356" s="54"/>
    </row>
    <row r="357" spans="1:3">
      <c r="A357" s="55"/>
      <c r="B357" s="8"/>
      <c r="C357" s="54"/>
    </row>
    <row r="358" spans="1:3">
      <c r="A358" s="55"/>
      <c r="B358" s="8"/>
      <c r="C358" s="54"/>
    </row>
    <row r="359" spans="1:3">
      <c r="A359" s="55"/>
      <c r="B359" s="8"/>
      <c r="C359" s="54"/>
    </row>
    <row r="360" spans="1:3">
      <c r="A360" s="55"/>
      <c r="B360" s="8"/>
      <c r="C360" s="54"/>
    </row>
    <row r="361" spans="1:3">
      <c r="A361" s="55"/>
      <c r="B361" s="8"/>
      <c r="C361" s="54"/>
    </row>
    <row r="362" spans="1:3">
      <c r="A362" s="55"/>
      <c r="B362" s="8"/>
      <c r="C362" s="54"/>
    </row>
    <row r="363" spans="1:3">
      <c r="A363" s="55"/>
      <c r="B363" s="8"/>
      <c r="C363" s="54"/>
    </row>
    <row r="364" spans="1:3">
      <c r="A364" s="55"/>
      <c r="B364" s="8"/>
      <c r="C364" s="54"/>
    </row>
    <row r="365" spans="1:3">
      <c r="A365" s="55"/>
      <c r="B365" s="8"/>
      <c r="C365" s="54"/>
    </row>
    <row r="366" spans="1:3">
      <c r="A366" s="55"/>
      <c r="B366" s="8"/>
      <c r="C366" s="54"/>
    </row>
    <row r="367" spans="1:3">
      <c r="A367" s="55"/>
      <c r="B367" s="8"/>
      <c r="C367" s="54"/>
    </row>
    <row r="368" spans="1:3">
      <c r="A368" s="55"/>
      <c r="B368" s="8"/>
      <c r="C368" s="54"/>
    </row>
    <row r="369" spans="1:3">
      <c r="A369" s="55"/>
      <c r="B369" s="8"/>
      <c r="C369" s="54"/>
    </row>
    <row r="370" spans="1:3">
      <c r="A370" s="55"/>
      <c r="B370" s="8"/>
      <c r="C370" s="54"/>
    </row>
    <row r="371" spans="1:3">
      <c r="A371" s="55"/>
      <c r="B371" s="8"/>
      <c r="C371" s="54"/>
    </row>
    <row r="372" spans="1:3">
      <c r="A372" s="55"/>
      <c r="B372" s="8"/>
      <c r="C372" s="54"/>
    </row>
    <row r="373" spans="1:3">
      <c r="A373" s="55"/>
      <c r="B373" s="8"/>
      <c r="C373" s="54"/>
    </row>
    <row r="374" spans="1:3">
      <c r="A374" s="55"/>
      <c r="B374" s="8"/>
      <c r="C374" s="54"/>
    </row>
    <row r="375" spans="1:3">
      <c r="A375" s="55"/>
      <c r="B375" s="8"/>
      <c r="C375" s="54"/>
    </row>
    <row r="376" spans="1:3">
      <c r="A376" s="55"/>
      <c r="B376" s="8"/>
      <c r="C376" s="54"/>
    </row>
    <row r="377" spans="1:3">
      <c r="A377" s="55"/>
      <c r="B377" s="8"/>
      <c r="C377" s="54"/>
    </row>
    <row r="378" spans="1:3">
      <c r="A378" s="55"/>
      <c r="B378" s="8"/>
      <c r="C378" s="54"/>
    </row>
    <row r="379" spans="1:3">
      <c r="A379" s="55"/>
      <c r="B379" s="8"/>
      <c r="C379" s="54"/>
    </row>
    <row r="380" spans="1:3">
      <c r="A380" s="55"/>
      <c r="B380" s="8"/>
      <c r="C380" s="54"/>
    </row>
    <row r="381" spans="1:3">
      <c r="A381" s="55"/>
      <c r="B381" s="8"/>
      <c r="C381" s="54"/>
    </row>
    <row r="382" spans="1:3">
      <c r="A382" s="55"/>
      <c r="B382" s="8"/>
      <c r="C382" s="54"/>
    </row>
    <row r="383" spans="1:3">
      <c r="A383" s="55"/>
      <c r="B383" s="8"/>
      <c r="C383" s="54"/>
    </row>
    <row r="384" spans="1:3">
      <c r="A384" s="55"/>
      <c r="B384" s="8"/>
      <c r="C384" s="54"/>
    </row>
    <row r="385" spans="1:3">
      <c r="A385" s="55"/>
      <c r="B385" s="8"/>
      <c r="C385" s="54"/>
    </row>
    <row r="386" spans="1:3">
      <c r="A386" s="55"/>
      <c r="B386" s="8"/>
      <c r="C386" s="54"/>
    </row>
    <row r="387" spans="1:3">
      <c r="A387" s="55"/>
      <c r="B387" s="8"/>
      <c r="C387" s="54"/>
    </row>
    <row r="388" spans="1:3">
      <c r="A388" s="55"/>
      <c r="B388" s="8"/>
      <c r="C388" s="54"/>
    </row>
    <row r="389" spans="1:3">
      <c r="A389" s="55"/>
      <c r="B389" s="8"/>
      <c r="C389" s="54"/>
    </row>
    <row r="390" spans="1:3">
      <c r="A390" s="55"/>
      <c r="B390" s="8"/>
      <c r="C390" s="54"/>
    </row>
    <row r="391" spans="1:3">
      <c r="A391" s="55"/>
      <c r="B391" s="8"/>
      <c r="C391" s="54"/>
    </row>
    <row r="392" spans="1:3">
      <c r="A392" s="55"/>
      <c r="B392" s="8"/>
      <c r="C392" s="54"/>
    </row>
    <row r="393" spans="1:3">
      <c r="A393" s="55"/>
      <c r="B393" s="8"/>
      <c r="C393" s="54"/>
    </row>
    <row r="394" spans="1:3">
      <c r="A394" s="55"/>
      <c r="B394" s="8"/>
      <c r="C394" s="54"/>
    </row>
    <row r="395" spans="1:3">
      <c r="A395" s="55"/>
      <c r="B395" s="8"/>
      <c r="C395" s="54"/>
    </row>
    <row r="396" spans="1:3">
      <c r="A396" s="55"/>
      <c r="B396" s="8"/>
      <c r="C396" s="54"/>
    </row>
    <row r="397" spans="1:3">
      <c r="A397" s="55"/>
      <c r="B397" s="8"/>
      <c r="C397" s="54"/>
    </row>
    <row r="398" spans="1:3">
      <c r="A398" s="55"/>
      <c r="B398" s="8"/>
      <c r="C398" s="54"/>
    </row>
    <row r="399" spans="1:3">
      <c r="A399" s="55"/>
      <c r="B399" s="8"/>
      <c r="C399" s="54"/>
    </row>
    <row r="400" spans="1:3">
      <c r="A400" s="55"/>
      <c r="B400" s="8"/>
      <c r="C400" s="54"/>
    </row>
    <row r="401" spans="1:3">
      <c r="A401" s="55"/>
      <c r="B401" s="8"/>
      <c r="C401" s="54"/>
    </row>
    <row r="402" spans="1:3">
      <c r="A402" s="55"/>
      <c r="B402" s="8"/>
      <c r="C402" s="54"/>
    </row>
    <row r="403" spans="1:3">
      <c r="A403" s="55"/>
      <c r="B403" s="8"/>
      <c r="C403" s="54"/>
    </row>
    <row r="404" spans="1:3">
      <c r="A404" s="55"/>
      <c r="B404" s="8"/>
      <c r="C404" s="54"/>
    </row>
    <row r="405" spans="1:3">
      <c r="A405" s="55"/>
      <c r="B405" s="8"/>
      <c r="C405" s="54"/>
    </row>
    <row r="406" spans="1:3">
      <c r="A406" s="55"/>
      <c r="B406" s="8"/>
      <c r="C406" s="54"/>
    </row>
    <row r="407" spans="1:3">
      <c r="A407" s="55"/>
      <c r="B407" s="8"/>
      <c r="C407" s="54"/>
    </row>
    <row r="408" spans="1:3">
      <c r="A408" s="55"/>
      <c r="B408" s="8"/>
      <c r="C408" s="54"/>
    </row>
    <row r="409" spans="1:3">
      <c r="A409" s="55"/>
      <c r="B409" s="8"/>
      <c r="C409" s="54"/>
    </row>
    <row r="410" spans="1:3">
      <c r="A410" s="55"/>
      <c r="B410" s="8"/>
      <c r="C410" s="54"/>
    </row>
    <row r="411" spans="1:3">
      <c r="A411" s="55"/>
      <c r="B411" s="8"/>
      <c r="C411" s="54"/>
    </row>
    <row r="412" spans="1:3">
      <c r="A412" s="55"/>
      <c r="B412" s="8"/>
      <c r="C412" s="54"/>
    </row>
    <row r="413" spans="1:3">
      <c r="A413" s="55"/>
      <c r="B413" s="8"/>
      <c r="C413" s="54"/>
    </row>
    <row r="414" spans="1:3">
      <c r="A414" s="55"/>
      <c r="B414" s="8"/>
      <c r="C414" s="54"/>
    </row>
    <row r="415" spans="1:3">
      <c r="A415" s="55"/>
      <c r="B415" s="8"/>
      <c r="C415" s="54"/>
    </row>
    <row r="416" spans="1:3">
      <c r="A416" s="55"/>
      <c r="B416" s="8"/>
      <c r="C416" s="54"/>
    </row>
    <row r="417" spans="1:3">
      <c r="A417" s="55"/>
      <c r="B417" s="8"/>
      <c r="C417" s="54"/>
    </row>
    <row r="418" spans="1:3">
      <c r="A418" s="55"/>
      <c r="B418" s="8"/>
      <c r="C418" s="54"/>
    </row>
    <row r="419" spans="1:3">
      <c r="A419" s="55"/>
      <c r="B419" s="8"/>
      <c r="C419" s="54"/>
    </row>
    <row r="420" spans="1:3">
      <c r="A420" s="55"/>
      <c r="B420" s="8"/>
      <c r="C420" s="54"/>
    </row>
    <row r="421" spans="1:3">
      <c r="A421" s="55"/>
      <c r="B421" s="8"/>
      <c r="C421" s="54"/>
    </row>
    <row r="422" spans="1:3">
      <c r="A422" s="55"/>
      <c r="B422" s="8"/>
      <c r="C422" s="54"/>
    </row>
    <row r="423" spans="1:3">
      <c r="A423" s="55"/>
      <c r="B423" s="8"/>
      <c r="C423" s="54"/>
    </row>
    <row r="424" spans="1:3">
      <c r="A424" s="55"/>
      <c r="B424" s="8"/>
      <c r="C424" s="54"/>
    </row>
    <row r="425" spans="1:3">
      <c r="A425" s="55"/>
      <c r="B425" s="8"/>
      <c r="C425" s="54"/>
    </row>
    <row r="426" spans="1:3">
      <c r="A426" s="55"/>
      <c r="B426" s="8"/>
      <c r="C426" s="54"/>
    </row>
    <row r="427" spans="1:3">
      <c r="A427" s="55"/>
      <c r="B427" s="8"/>
      <c r="C427" s="54"/>
    </row>
    <row r="428" spans="1:3">
      <c r="A428" s="55"/>
      <c r="B428" s="8"/>
      <c r="C428" s="54"/>
    </row>
    <row r="429" spans="1:3">
      <c r="A429" s="55"/>
      <c r="B429" s="8"/>
      <c r="C429" s="54"/>
    </row>
    <row r="430" spans="1:3">
      <c r="A430" s="55"/>
      <c r="B430" s="8"/>
      <c r="C430" s="54"/>
    </row>
    <row r="431" spans="1:3">
      <c r="A431" s="55"/>
      <c r="B431" s="8"/>
      <c r="C431" s="54"/>
    </row>
    <row r="432" spans="1:3">
      <c r="A432" s="55"/>
      <c r="B432" s="8"/>
      <c r="C432" s="54"/>
    </row>
    <row r="433" spans="1:3">
      <c r="A433" s="55"/>
      <c r="B433" s="8"/>
      <c r="C433" s="54"/>
    </row>
    <row r="434" spans="1:3">
      <c r="A434" s="55"/>
      <c r="B434" s="8"/>
      <c r="C434" s="54"/>
    </row>
    <row r="435" spans="1:3">
      <c r="A435" s="55"/>
      <c r="B435" s="8"/>
      <c r="C435" s="54"/>
    </row>
    <row r="436" spans="1:3">
      <c r="A436" s="55"/>
      <c r="B436" s="8"/>
      <c r="C436" s="54"/>
    </row>
    <row r="437" spans="1:3">
      <c r="A437" s="55"/>
      <c r="B437" s="8"/>
      <c r="C437" s="54"/>
    </row>
    <row r="438" spans="1:3">
      <c r="A438" s="55"/>
      <c r="B438" s="8"/>
      <c r="C438" s="54"/>
    </row>
    <row r="439" spans="1:3">
      <c r="A439" s="55"/>
      <c r="B439" s="8"/>
      <c r="C439" s="54"/>
    </row>
    <row r="440" spans="1:3">
      <c r="A440" s="55"/>
      <c r="B440" s="8"/>
      <c r="C440" s="54"/>
    </row>
    <row r="441" spans="1:3">
      <c r="A441" s="55"/>
      <c r="B441" s="8"/>
      <c r="C441" s="54"/>
    </row>
    <row r="442" spans="1:3">
      <c r="A442" s="55"/>
      <c r="B442" s="8"/>
      <c r="C442" s="54"/>
    </row>
    <row r="443" spans="1:3">
      <c r="A443" s="55"/>
      <c r="B443" s="8"/>
      <c r="C443" s="54"/>
    </row>
    <row r="444" spans="1:3">
      <c r="A444" s="55"/>
      <c r="B444" s="8"/>
      <c r="C444" s="54"/>
    </row>
    <row r="445" spans="1:3">
      <c r="A445" s="55"/>
      <c r="B445" s="8"/>
      <c r="C445" s="54"/>
    </row>
    <row r="446" spans="1:3">
      <c r="A446" s="55"/>
      <c r="B446" s="8"/>
      <c r="C446" s="54"/>
    </row>
    <row r="447" spans="1:3">
      <c r="A447" s="55"/>
      <c r="B447" s="8"/>
      <c r="C447" s="54"/>
    </row>
    <row r="448" spans="1:3">
      <c r="A448" s="55"/>
      <c r="B448" s="8"/>
      <c r="C448" s="54"/>
    </row>
    <row r="449" spans="1:3">
      <c r="A449" s="55"/>
      <c r="B449" s="8"/>
      <c r="C449" s="54"/>
    </row>
    <row r="450" spans="1:3">
      <c r="A450" s="55"/>
      <c r="B450" s="8"/>
      <c r="C450" s="54"/>
    </row>
    <row r="451" spans="1:3">
      <c r="A451" s="55"/>
      <c r="B451" s="8"/>
      <c r="C451" s="54"/>
    </row>
    <row r="452" spans="1:3">
      <c r="A452" s="55"/>
      <c r="B452" s="8"/>
      <c r="C452" s="54"/>
    </row>
    <row r="453" spans="1:3">
      <c r="A453" s="55"/>
      <c r="B453" s="8"/>
      <c r="C453" s="54"/>
    </row>
    <row r="454" spans="1:3">
      <c r="A454" s="55"/>
      <c r="B454" s="8"/>
      <c r="C454" s="54"/>
    </row>
    <row r="455" spans="1:3">
      <c r="A455" s="55"/>
      <c r="B455" s="8"/>
      <c r="C455" s="54"/>
    </row>
    <row r="456" spans="1:3">
      <c r="A456" s="55"/>
      <c r="B456" s="8"/>
      <c r="C456" s="54"/>
    </row>
    <row r="457" spans="1:3">
      <c r="A457" s="55"/>
      <c r="B457" s="8"/>
      <c r="C457" s="54"/>
    </row>
    <row r="458" spans="1:3">
      <c r="A458" s="55"/>
      <c r="B458" s="8"/>
      <c r="C458" s="54"/>
    </row>
    <row r="459" spans="1:3">
      <c r="A459" s="55"/>
      <c r="B459" s="8"/>
      <c r="C459" s="54"/>
    </row>
    <row r="460" spans="1:3">
      <c r="A460" s="55"/>
      <c r="B460" s="8"/>
      <c r="C460" s="54"/>
    </row>
    <row r="461" spans="1:3">
      <c r="A461" s="55"/>
      <c r="B461" s="8"/>
      <c r="C461" s="54"/>
    </row>
    <row r="462" spans="1:3">
      <c r="A462" s="55"/>
      <c r="B462" s="8"/>
      <c r="C462" s="54"/>
    </row>
    <row r="463" spans="1:3">
      <c r="A463" s="55"/>
      <c r="B463" s="8"/>
      <c r="C463" s="54"/>
    </row>
    <row r="464" spans="1:3">
      <c r="A464" s="55"/>
      <c r="B464" s="8"/>
      <c r="C464" s="54"/>
    </row>
    <row r="465" spans="1:3">
      <c r="A465" s="55"/>
      <c r="B465" s="8"/>
      <c r="C465" s="54"/>
    </row>
    <row r="466" spans="1:3">
      <c r="A466" s="55"/>
      <c r="B466" s="8"/>
      <c r="C466" s="54"/>
    </row>
    <row r="467" spans="1:3">
      <c r="A467" s="55"/>
      <c r="B467" s="8"/>
      <c r="C467" s="54"/>
    </row>
    <row r="468" spans="1:3">
      <c r="A468" s="55"/>
      <c r="B468" s="8"/>
      <c r="C468" s="54"/>
    </row>
    <row r="469" spans="1:3">
      <c r="A469" s="55"/>
      <c r="B469" s="8"/>
      <c r="C469" s="54"/>
    </row>
    <row r="470" spans="1:3">
      <c r="A470" s="55"/>
      <c r="B470" s="8"/>
      <c r="C470" s="54"/>
    </row>
    <row r="471" spans="1:3">
      <c r="A471" s="55"/>
      <c r="B471" s="8"/>
      <c r="C471" s="54"/>
    </row>
    <row r="472" spans="1:3">
      <c r="A472" s="55"/>
      <c r="B472" s="8"/>
      <c r="C472" s="54"/>
    </row>
    <row r="473" spans="1:3">
      <c r="A473" s="55"/>
      <c r="B473" s="8"/>
      <c r="C473" s="54"/>
    </row>
    <row r="474" spans="1:3">
      <c r="A474" s="55"/>
      <c r="B474" s="8"/>
      <c r="C474" s="54"/>
    </row>
    <row r="475" spans="1:3">
      <c r="A475" s="55"/>
      <c r="B475" s="8"/>
      <c r="C475" s="54"/>
    </row>
    <row r="476" spans="1:3">
      <c r="A476" s="55"/>
      <c r="B476" s="8"/>
      <c r="C476" s="54"/>
    </row>
    <row r="477" spans="1:3">
      <c r="A477" s="55"/>
      <c r="B477" s="8"/>
      <c r="C477" s="54"/>
    </row>
    <row r="478" spans="1:3">
      <c r="A478" s="55"/>
      <c r="B478" s="8"/>
      <c r="C478" s="54"/>
    </row>
    <row r="479" spans="1:3">
      <c r="A479" s="55"/>
      <c r="B479" s="8"/>
      <c r="C479" s="54"/>
    </row>
    <row r="480" spans="1:3">
      <c r="A480" s="55"/>
      <c r="B480" s="8"/>
      <c r="C480" s="54"/>
    </row>
    <row r="481" spans="1:3">
      <c r="A481" s="55"/>
      <c r="B481" s="8"/>
      <c r="C481" s="54"/>
    </row>
    <row r="482" spans="1:3">
      <c r="A482" s="55"/>
      <c r="B482" s="8"/>
      <c r="C482" s="54"/>
    </row>
    <row r="483" spans="1:3">
      <c r="A483" s="55"/>
      <c r="B483" s="8"/>
      <c r="C483" s="54"/>
    </row>
    <row r="484" spans="1:3">
      <c r="A484" s="55"/>
      <c r="B484" s="8"/>
      <c r="C484" s="54"/>
    </row>
    <row r="485" spans="1:3">
      <c r="A485" s="55"/>
      <c r="B485" s="8"/>
      <c r="C485" s="54"/>
    </row>
    <row r="486" spans="1:3">
      <c r="A486" s="55"/>
      <c r="B486" s="8"/>
      <c r="C486" s="54"/>
    </row>
    <row r="487" spans="1:3">
      <c r="A487" s="55"/>
      <c r="B487" s="8"/>
      <c r="C487" s="54"/>
    </row>
    <row r="488" spans="1:3">
      <c r="A488" s="55"/>
      <c r="B488" s="8"/>
      <c r="C488" s="54"/>
    </row>
    <row r="489" spans="1:3">
      <c r="A489" s="55"/>
      <c r="B489" s="8"/>
      <c r="C489" s="54"/>
    </row>
    <row r="490" spans="1:3">
      <c r="A490" s="55"/>
      <c r="B490" s="8"/>
      <c r="C490" s="54"/>
    </row>
    <row r="491" spans="1:3">
      <c r="A491" s="55"/>
      <c r="B491" s="8"/>
      <c r="C491" s="54"/>
    </row>
    <row r="492" spans="1:3">
      <c r="A492" s="55"/>
      <c r="B492" s="8"/>
      <c r="C492" s="54"/>
    </row>
    <row r="493" spans="1:3">
      <c r="A493" s="55"/>
      <c r="B493" s="8"/>
      <c r="C493" s="54"/>
    </row>
    <row r="494" spans="1:3">
      <c r="A494" s="55"/>
      <c r="B494" s="8"/>
      <c r="C494" s="54"/>
    </row>
    <row r="495" spans="1:3">
      <c r="A495" s="55"/>
      <c r="B495" s="8"/>
      <c r="C495" s="54"/>
    </row>
    <row r="496" spans="1:3">
      <c r="A496" s="55"/>
      <c r="B496" s="8"/>
      <c r="C496" s="54"/>
    </row>
    <row r="497" spans="1:3">
      <c r="A497" s="55"/>
      <c r="B497" s="8"/>
      <c r="C497" s="54"/>
    </row>
    <row r="498" spans="1:3">
      <c r="A498" s="55"/>
      <c r="B498" s="8"/>
      <c r="C498" s="54"/>
    </row>
    <row r="499" spans="1:3">
      <c r="A499" s="55"/>
      <c r="B499" s="8"/>
      <c r="C499" s="54"/>
    </row>
    <row r="500" spans="1:3">
      <c r="A500" s="55"/>
      <c r="B500" s="8"/>
      <c r="C500" s="54"/>
    </row>
    <row r="501" spans="1:3">
      <c r="A501" s="55"/>
      <c r="B501" s="8"/>
      <c r="C501" s="54"/>
    </row>
    <row r="502" spans="1:3">
      <c r="A502" s="55"/>
      <c r="B502" s="8"/>
      <c r="C502" s="54"/>
    </row>
    <row r="503" spans="1:3">
      <c r="A503" s="55"/>
      <c r="B503" s="8"/>
      <c r="C503" s="54"/>
    </row>
    <row r="504" spans="1:3">
      <c r="A504" s="55"/>
      <c r="B504" s="8"/>
      <c r="C504" s="54"/>
    </row>
    <row r="505" spans="1:3">
      <c r="A505" s="55"/>
      <c r="B505" s="8"/>
      <c r="C505" s="54"/>
    </row>
    <row r="506" spans="1:3">
      <c r="A506" s="55"/>
      <c r="B506" s="8"/>
      <c r="C506" s="54"/>
    </row>
    <row r="507" spans="1:3">
      <c r="A507" s="55"/>
      <c r="B507" s="8"/>
      <c r="C507" s="54"/>
    </row>
    <row r="508" spans="1:3">
      <c r="A508" s="55"/>
      <c r="B508" s="8"/>
      <c r="C508" s="54"/>
    </row>
    <row r="509" spans="1:3">
      <c r="A509" s="55"/>
      <c r="B509" s="8"/>
      <c r="C509" s="54"/>
    </row>
    <row r="510" spans="1:3">
      <c r="A510" s="55"/>
      <c r="B510" s="8"/>
      <c r="C510" s="54"/>
    </row>
    <row r="511" spans="1:3">
      <c r="A511" s="55"/>
      <c r="B511" s="8"/>
      <c r="C511" s="54"/>
    </row>
    <row r="512" spans="1:3">
      <c r="A512" s="55"/>
      <c r="B512" s="8"/>
      <c r="C512" s="54"/>
    </row>
    <row r="513" spans="1:3">
      <c r="A513" s="55"/>
      <c r="B513" s="8"/>
      <c r="C513" s="54"/>
    </row>
    <row r="514" spans="1:3">
      <c r="A514" s="55"/>
      <c r="B514" s="8"/>
      <c r="C514" s="54"/>
    </row>
    <row r="515" spans="1:3">
      <c r="A515" s="55"/>
      <c r="B515" s="8"/>
      <c r="C515" s="54"/>
    </row>
    <row r="516" spans="1:3">
      <c r="A516" s="55"/>
      <c r="B516" s="8"/>
      <c r="C516" s="54"/>
    </row>
    <row r="517" spans="1:3">
      <c r="A517" s="55"/>
      <c r="B517" s="8"/>
      <c r="C517" s="54"/>
    </row>
    <row r="518" spans="1:3">
      <c r="A518" s="55"/>
      <c r="B518" s="8"/>
      <c r="C518" s="54"/>
    </row>
    <row r="519" spans="1:3">
      <c r="A519" s="55"/>
      <c r="B519" s="8"/>
      <c r="C519" s="54"/>
    </row>
    <row r="520" spans="1:3">
      <c r="A520" s="55"/>
      <c r="B520" s="8"/>
      <c r="C520" s="54"/>
    </row>
    <row r="521" spans="1:3">
      <c r="A521" s="55"/>
      <c r="B521" s="8"/>
      <c r="C521" s="54"/>
    </row>
    <row r="522" spans="1:3">
      <c r="A522" s="55"/>
      <c r="B522" s="8"/>
      <c r="C522" s="54"/>
    </row>
    <row r="523" spans="1:3">
      <c r="A523" s="55"/>
      <c r="B523" s="8"/>
      <c r="C523" s="54"/>
    </row>
    <row r="524" spans="1:3">
      <c r="A524" s="55"/>
      <c r="B524" s="8"/>
      <c r="C524" s="54"/>
    </row>
    <row r="525" spans="1:3">
      <c r="A525" s="55"/>
      <c r="B525" s="8"/>
      <c r="C525" s="54"/>
    </row>
    <row r="526" spans="1:3">
      <c r="A526" s="55"/>
      <c r="B526" s="8"/>
      <c r="C526" s="54"/>
    </row>
    <row r="527" spans="1:3">
      <c r="A527" s="55"/>
      <c r="B527" s="8"/>
      <c r="C527" s="54"/>
    </row>
    <row r="528" spans="1:3">
      <c r="A528" s="55"/>
      <c r="B528" s="8"/>
      <c r="C528" s="54"/>
    </row>
    <row r="529" spans="1:3">
      <c r="A529" s="55"/>
      <c r="B529" s="8"/>
      <c r="C529" s="54"/>
    </row>
    <row r="530" spans="1:3">
      <c r="A530" s="55"/>
      <c r="B530" s="8"/>
      <c r="C530" s="54"/>
    </row>
    <row r="531" spans="1:3">
      <c r="A531" s="55"/>
      <c r="B531" s="8"/>
      <c r="C531" s="54"/>
    </row>
    <row r="532" spans="1:3">
      <c r="A532" s="55"/>
      <c r="B532" s="8"/>
      <c r="C532" s="54"/>
    </row>
    <row r="533" spans="1:3">
      <c r="A533" s="55"/>
      <c r="B533" s="8"/>
      <c r="C533" s="54"/>
    </row>
    <row r="534" spans="1:3">
      <c r="A534" s="55"/>
      <c r="B534" s="8"/>
      <c r="C534" s="54"/>
    </row>
    <row r="535" spans="1:3">
      <c r="A535" s="55"/>
      <c r="B535" s="8"/>
      <c r="C535" s="54"/>
    </row>
    <row r="536" spans="1:3">
      <c r="A536" s="55"/>
      <c r="B536" s="8"/>
      <c r="C536" s="54"/>
    </row>
    <row r="537" spans="1:3">
      <c r="A537" s="55"/>
      <c r="B537" s="8"/>
      <c r="C537" s="54"/>
    </row>
    <row r="538" spans="1:3">
      <c r="A538" s="55"/>
      <c r="B538" s="8"/>
      <c r="C538" s="54"/>
    </row>
    <row r="539" spans="1:3">
      <c r="A539" s="55"/>
      <c r="B539" s="8"/>
      <c r="C539" s="54"/>
    </row>
    <row r="540" spans="1:3">
      <c r="A540" s="55"/>
      <c r="B540" s="8"/>
      <c r="C540" s="54"/>
    </row>
    <row r="541" spans="1:3">
      <c r="A541" s="55"/>
      <c r="B541" s="8"/>
      <c r="C541" s="54"/>
    </row>
    <row r="542" spans="1:3">
      <c r="A542" s="55"/>
      <c r="B542" s="8"/>
      <c r="C542" s="54"/>
    </row>
    <row r="543" spans="1:3">
      <c r="A543" s="55"/>
      <c r="B543" s="8"/>
      <c r="C543" s="54"/>
    </row>
    <row r="544" spans="1:3">
      <c r="A544" s="55"/>
      <c r="B544" s="8"/>
      <c r="C544" s="54"/>
    </row>
    <row r="545" spans="1:3">
      <c r="A545" s="55"/>
      <c r="B545" s="8"/>
      <c r="C545" s="54"/>
    </row>
    <row r="546" spans="1:3">
      <c r="A546" s="55"/>
      <c r="B546" s="8"/>
      <c r="C546" s="54"/>
    </row>
    <row r="547" spans="1:3">
      <c r="A547" s="55"/>
      <c r="B547" s="8"/>
      <c r="C547" s="54"/>
    </row>
    <row r="548" spans="1:3">
      <c r="A548" s="55"/>
      <c r="B548" s="8"/>
      <c r="C548" s="54"/>
    </row>
    <row r="549" spans="1:3">
      <c r="A549" s="55"/>
      <c r="B549" s="8"/>
      <c r="C549" s="54"/>
    </row>
    <row r="550" spans="1:3">
      <c r="A550" s="55"/>
      <c r="B550" s="8"/>
      <c r="C550" s="54"/>
    </row>
    <row r="551" spans="1:3">
      <c r="A551" s="55"/>
      <c r="B551" s="8"/>
      <c r="C551" s="54"/>
    </row>
    <row r="552" spans="1:3">
      <c r="A552" s="55"/>
      <c r="B552" s="8"/>
      <c r="C552" s="54"/>
    </row>
    <row r="553" spans="1:3">
      <c r="A553" s="55"/>
      <c r="B553" s="8"/>
      <c r="C553" s="54"/>
    </row>
    <row r="554" spans="1:3">
      <c r="A554" s="55"/>
      <c r="B554" s="8"/>
      <c r="C554" s="54"/>
    </row>
    <row r="555" spans="1:3">
      <c r="A555" s="55"/>
      <c r="B555" s="8"/>
      <c r="C555" s="54"/>
    </row>
    <row r="556" spans="1:3">
      <c r="A556" s="55"/>
      <c r="B556" s="8"/>
      <c r="C556" s="54"/>
    </row>
    <row r="557" spans="1:3">
      <c r="A557" s="55"/>
      <c r="B557" s="8"/>
      <c r="C557" s="54"/>
    </row>
    <row r="558" spans="1:3">
      <c r="A558" s="55"/>
      <c r="B558" s="8"/>
      <c r="C558" s="54"/>
    </row>
    <row r="559" spans="1:3">
      <c r="A559" s="55"/>
      <c r="B559" s="8"/>
      <c r="C559" s="54"/>
    </row>
    <row r="560" spans="1:3">
      <c r="A560" s="55"/>
      <c r="B560" s="8"/>
      <c r="C560" s="54"/>
    </row>
    <row r="561" spans="1:3">
      <c r="A561" s="55"/>
      <c r="B561" s="8"/>
      <c r="C561" s="54"/>
    </row>
    <row r="562" spans="1:3">
      <c r="A562" s="55"/>
      <c r="B562" s="8"/>
      <c r="C562" s="54"/>
    </row>
    <row r="563" spans="1:3">
      <c r="A563" s="55"/>
      <c r="B563" s="8"/>
      <c r="C563" s="54"/>
    </row>
    <row r="564" spans="1:3">
      <c r="A564" s="55"/>
      <c r="B564" s="8"/>
      <c r="C564" s="54"/>
    </row>
    <row r="565" spans="1:3">
      <c r="A565" s="55"/>
      <c r="B565" s="8"/>
      <c r="C565" s="54"/>
    </row>
    <row r="566" spans="1:3">
      <c r="A566" s="55"/>
      <c r="B566" s="8"/>
      <c r="C566" s="54"/>
    </row>
    <row r="567" spans="1:3">
      <c r="A567" s="55"/>
      <c r="B567" s="8"/>
      <c r="C567" s="54"/>
    </row>
    <row r="568" spans="1:3">
      <c r="A568" s="55"/>
      <c r="B568" s="8"/>
      <c r="C568" s="54"/>
    </row>
    <row r="569" spans="1:3">
      <c r="A569" s="55"/>
      <c r="B569" s="8"/>
      <c r="C569" s="54"/>
    </row>
    <row r="570" spans="1:3">
      <c r="A570" s="55"/>
      <c r="B570" s="8"/>
      <c r="C570" s="54"/>
    </row>
    <row r="571" spans="1:3">
      <c r="A571" s="55"/>
      <c r="B571" s="8"/>
      <c r="C571" s="54"/>
    </row>
    <row r="572" spans="1:3">
      <c r="A572" s="55"/>
      <c r="B572" s="8"/>
      <c r="C572" s="54"/>
    </row>
    <row r="573" spans="1:3">
      <c r="A573" s="55"/>
      <c r="B573" s="8"/>
      <c r="C573" s="54"/>
    </row>
    <row r="574" spans="1:3">
      <c r="A574" s="55"/>
      <c r="B574" s="8"/>
      <c r="C574" s="54"/>
    </row>
    <row r="575" spans="1:3">
      <c r="A575" s="55"/>
      <c r="B575" s="8"/>
      <c r="C575" s="54"/>
    </row>
    <row r="576" spans="1:3">
      <c r="A576" s="55"/>
      <c r="B576" s="8"/>
      <c r="C576" s="54"/>
    </row>
    <row r="577" spans="1:3">
      <c r="A577" s="55"/>
      <c r="B577" s="8"/>
      <c r="C577" s="54"/>
    </row>
    <row r="578" spans="1:3">
      <c r="A578" s="55"/>
      <c r="B578" s="8"/>
      <c r="C578" s="54"/>
    </row>
    <row r="579" spans="1:3">
      <c r="A579" s="55"/>
      <c r="B579" s="8"/>
      <c r="C579" s="54"/>
    </row>
    <row r="580" spans="1:3">
      <c r="A580" s="55"/>
      <c r="B580" s="8"/>
      <c r="C580" s="54"/>
    </row>
    <row r="581" spans="1:3">
      <c r="A581" s="55"/>
      <c r="B581" s="8"/>
      <c r="C581" s="54"/>
    </row>
    <row r="582" spans="1:3">
      <c r="A582" s="55"/>
      <c r="B582" s="8"/>
      <c r="C582" s="54"/>
    </row>
    <row r="583" spans="1:3">
      <c r="A583" s="55"/>
      <c r="B583" s="8"/>
      <c r="C583" s="54"/>
    </row>
    <row r="584" spans="1:3">
      <c r="A584" s="55"/>
      <c r="B584" s="8"/>
      <c r="C584" s="54"/>
    </row>
    <row r="585" spans="1:3">
      <c r="A585" s="55"/>
      <c r="B585" s="8"/>
      <c r="C585" s="54"/>
    </row>
    <row r="586" spans="1:3">
      <c r="A586" s="55"/>
      <c r="B586" s="8"/>
      <c r="C586" s="54"/>
    </row>
    <row r="587" spans="1:3">
      <c r="A587" s="55"/>
      <c r="B587" s="8"/>
      <c r="C587" s="54"/>
    </row>
    <row r="588" spans="1:3">
      <c r="A588" s="55"/>
      <c r="B588" s="8"/>
      <c r="C588" s="54"/>
    </row>
    <row r="589" spans="1:3">
      <c r="A589" s="55"/>
      <c r="B589" s="8"/>
      <c r="C589" s="54"/>
    </row>
    <row r="590" spans="1:3">
      <c r="A590" s="55"/>
      <c r="B590" s="8"/>
      <c r="C590" s="54"/>
    </row>
    <row r="591" spans="1:3">
      <c r="A591" s="55"/>
      <c r="B591" s="8"/>
      <c r="C591" s="54"/>
    </row>
    <row r="592" spans="1:3">
      <c r="A592" s="55"/>
      <c r="B592" s="8"/>
      <c r="C592" s="54"/>
    </row>
    <row r="593" spans="1:3">
      <c r="A593" s="55"/>
      <c r="B593" s="8"/>
      <c r="C593" s="54"/>
    </row>
    <row r="594" spans="1:3">
      <c r="A594" s="55"/>
      <c r="B594" s="8"/>
      <c r="C594" s="54"/>
    </row>
    <row r="595" spans="1:3">
      <c r="A595" s="55"/>
      <c r="B595" s="8"/>
      <c r="C595" s="54"/>
    </row>
    <row r="596" spans="1:3">
      <c r="A596" s="55"/>
      <c r="B596" s="8"/>
      <c r="C596" s="54"/>
    </row>
    <row r="597" spans="1:3">
      <c r="A597" s="55"/>
      <c r="B597" s="8"/>
      <c r="C597" s="54"/>
    </row>
    <row r="598" spans="1:3">
      <c r="A598" s="55"/>
      <c r="B598" s="8"/>
      <c r="C598" s="54"/>
    </row>
    <row r="599" spans="1:3">
      <c r="A599" s="55"/>
      <c r="B599" s="8"/>
      <c r="C599" s="54"/>
    </row>
    <row r="600" spans="1:3">
      <c r="A600" s="55"/>
      <c r="B600" s="8"/>
      <c r="C600" s="54"/>
    </row>
    <row r="601" spans="1:3">
      <c r="A601" s="55"/>
      <c r="B601" s="8"/>
      <c r="C601" s="54"/>
    </row>
    <row r="602" spans="1:3">
      <c r="A602" s="55"/>
      <c r="B602" s="8"/>
      <c r="C602" s="54"/>
    </row>
    <row r="603" spans="1:3">
      <c r="A603" s="55"/>
      <c r="B603" s="8"/>
      <c r="C603" s="54"/>
    </row>
    <row r="604" spans="1:3">
      <c r="A604" s="55"/>
      <c r="B604" s="8"/>
      <c r="C604" s="54"/>
    </row>
    <row r="605" spans="1:3">
      <c r="A605" s="55"/>
      <c r="B605" s="8"/>
      <c r="C605" s="54"/>
    </row>
    <row r="606" spans="1:3">
      <c r="A606" s="55"/>
      <c r="B606" s="8"/>
      <c r="C606" s="54"/>
    </row>
    <row r="607" spans="1:3">
      <c r="A607" s="55"/>
      <c r="B607" s="8"/>
      <c r="C607" s="54"/>
    </row>
    <row r="608" spans="1:3">
      <c r="A608" s="55"/>
      <c r="B608" s="8"/>
      <c r="C608" s="54"/>
    </row>
    <row r="609" spans="1:3">
      <c r="A609" s="55"/>
      <c r="B609" s="8"/>
      <c r="C609" s="54"/>
    </row>
    <row r="610" spans="1:3">
      <c r="A610" s="55"/>
      <c r="B610" s="8"/>
      <c r="C610" s="54"/>
    </row>
    <row r="611" spans="1:3">
      <c r="A611" s="55"/>
      <c r="B611" s="8"/>
      <c r="C611" s="54"/>
    </row>
    <row r="612" spans="1:3">
      <c r="A612" s="55"/>
      <c r="B612" s="8"/>
      <c r="C612" s="54"/>
    </row>
    <row r="613" spans="1:3">
      <c r="A613" s="55"/>
      <c r="B613" s="8"/>
      <c r="C613" s="54"/>
    </row>
    <row r="614" spans="1:3">
      <c r="A614" s="55"/>
      <c r="B614" s="8"/>
      <c r="C614" s="54"/>
    </row>
    <row r="615" spans="1:3">
      <c r="A615" s="55"/>
      <c r="B615" s="8"/>
      <c r="C615" s="54"/>
    </row>
    <row r="616" spans="1:3">
      <c r="A616" s="55"/>
      <c r="B616" s="8"/>
      <c r="C616" s="54"/>
    </row>
    <row r="617" spans="1:3">
      <c r="A617" s="55"/>
      <c r="B617" s="8"/>
      <c r="C617" s="54"/>
    </row>
    <row r="618" spans="1:3">
      <c r="A618" s="55"/>
      <c r="B618" s="8"/>
      <c r="C618" s="54"/>
    </row>
    <row r="619" spans="1:3">
      <c r="A619" s="55"/>
      <c r="B619" s="8"/>
      <c r="C619" s="54"/>
    </row>
    <row r="620" spans="1:3">
      <c r="A620" s="55"/>
      <c r="B620" s="8"/>
      <c r="C620" s="54"/>
    </row>
    <row r="621" spans="1:3">
      <c r="A621" s="55"/>
      <c r="B621" s="8"/>
      <c r="C621" s="54"/>
    </row>
    <row r="622" spans="1:3">
      <c r="A622" s="55"/>
      <c r="B622" s="8"/>
      <c r="C622" s="54"/>
    </row>
    <row r="623" spans="1:3">
      <c r="A623" s="55"/>
      <c r="B623" s="8"/>
      <c r="C623" s="54"/>
    </row>
    <row r="624" spans="1:3">
      <c r="A624" s="55"/>
      <c r="B624" s="8"/>
      <c r="C624" s="54"/>
    </row>
    <row r="625" spans="1:3">
      <c r="A625" s="55"/>
      <c r="B625" s="8"/>
      <c r="C625" s="54"/>
    </row>
    <row r="626" spans="1:3">
      <c r="A626" s="55"/>
      <c r="B626" s="8"/>
      <c r="C626" s="54"/>
    </row>
    <row r="627" spans="1:3">
      <c r="A627" s="55"/>
      <c r="B627" s="8"/>
      <c r="C627" s="54"/>
    </row>
    <row r="628" spans="1:3">
      <c r="A628" s="55"/>
      <c r="B628" s="8"/>
      <c r="C628" s="54"/>
    </row>
    <row r="629" spans="1:3">
      <c r="A629" s="55"/>
      <c r="B629" s="8"/>
      <c r="C629" s="54"/>
    </row>
    <row r="630" spans="1:3">
      <c r="A630" s="55"/>
      <c r="B630" s="8"/>
      <c r="C630" s="54"/>
    </row>
    <row r="631" spans="1:3">
      <c r="A631" s="55"/>
      <c r="B631" s="8"/>
      <c r="C631" s="54"/>
    </row>
    <row r="632" spans="1:3">
      <c r="A632" s="55"/>
      <c r="B632" s="8"/>
      <c r="C632" s="54"/>
    </row>
    <row r="633" spans="1:3">
      <c r="A633" s="55"/>
      <c r="B633" s="8"/>
      <c r="C633" s="54"/>
    </row>
    <row r="634" spans="1:3">
      <c r="A634" s="55"/>
      <c r="B634" s="8"/>
      <c r="C634" s="54"/>
    </row>
    <row r="635" spans="1:3">
      <c r="A635" s="55"/>
      <c r="B635" s="8"/>
      <c r="C635" s="54"/>
    </row>
    <row r="636" spans="1:3">
      <c r="A636" s="55"/>
      <c r="B636" s="8"/>
      <c r="C636" s="54"/>
    </row>
    <row r="637" spans="1:3">
      <c r="A637" s="55"/>
      <c r="B637" s="8"/>
      <c r="C637" s="54"/>
    </row>
    <row r="638" spans="1:3">
      <c r="A638" s="55"/>
      <c r="B638" s="8"/>
      <c r="C638" s="54"/>
    </row>
    <row r="639" spans="1:3">
      <c r="A639" s="55"/>
      <c r="B639" s="8"/>
      <c r="C639" s="54"/>
    </row>
    <row r="640" spans="1:3">
      <c r="A640" s="55"/>
      <c r="B640" s="8"/>
      <c r="C640" s="54"/>
    </row>
    <row r="641" spans="1:3">
      <c r="A641" s="55"/>
      <c r="B641" s="8"/>
      <c r="C641" s="54"/>
    </row>
    <row r="642" spans="1:3">
      <c r="A642" s="55"/>
      <c r="B642" s="8"/>
      <c r="C642" s="54"/>
    </row>
    <row r="643" spans="1:3">
      <c r="A643" s="55"/>
      <c r="B643" s="8"/>
      <c r="C643" s="54"/>
    </row>
    <row r="644" spans="1:3">
      <c r="A644" s="55"/>
      <c r="B644" s="8"/>
      <c r="C644" s="54"/>
    </row>
    <row r="645" spans="1:3">
      <c r="A645" s="55"/>
      <c r="B645" s="8"/>
      <c r="C645" s="54"/>
    </row>
    <row r="646" spans="1:3">
      <c r="A646" s="55"/>
      <c r="B646" s="8"/>
      <c r="C646" s="54"/>
    </row>
    <row r="647" spans="1:3">
      <c r="A647" s="55"/>
      <c r="B647" s="8"/>
      <c r="C647" s="54"/>
    </row>
    <row r="648" spans="1:3">
      <c r="A648" s="55"/>
      <c r="B648" s="8"/>
      <c r="C648" s="54"/>
    </row>
    <row r="649" spans="1:3">
      <c r="A649" s="55"/>
      <c r="B649" s="8"/>
      <c r="C649" s="54"/>
    </row>
    <row r="650" spans="1:3">
      <c r="A650" s="55"/>
      <c r="B650" s="8"/>
      <c r="C650" s="54"/>
    </row>
    <row r="651" spans="1:3">
      <c r="A651" s="55"/>
      <c r="B651" s="8"/>
      <c r="C651" s="54"/>
    </row>
    <row r="652" spans="1:3">
      <c r="A652" s="55"/>
      <c r="B652" s="8"/>
      <c r="C652" s="54"/>
    </row>
    <row r="653" spans="1:3">
      <c r="A653" s="55"/>
      <c r="B653" s="8"/>
      <c r="C653" s="54"/>
    </row>
    <row r="654" spans="1:3">
      <c r="A654" s="55"/>
      <c r="B654" s="8"/>
      <c r="C654" s="54"/>
    </row>
    <row r="655" spans="1:3">
      <c r="A655" s="55"/>
      <c r="B655" s="8"/>
      <c r="C655" s="54"/>
    </row>
    <row r="656" spans="1:3">
      <c r="A656" s="55"/>
      <c r="B656" s="8"/>
      <c r="C656" s="54"/>
    </row>
    <row r="657" spans="1:3">
      <c r="A657" s="55"/>
      <c r="B657" s="8"/>
      <c r="C657" s="54"/>
    </row>
    <row r="658" spans="1:3">
      <c r="A658" s="55"/>
      <c r="B658" s="8"/>
      <c r="C658" s="54"/>
    </row>
    <row r="659" spans="1:3">
      <c r="A659" s="55"/>
      <c r="B659" s="8"/>
      <c r="C659" s="54"/>
    </row>
    <row r="660" spans="1:3">
      <c r="A660" s="55"/>
      <c r="B660" s="8"/>
      <c r="C660" s="54"/>
    </row>
    <row r="661" spans="1:3">
      <c r="A661" s="55"/>
      <c r="B661" s="8"/>
      <c r="C661" s="54"/>
    </row>
    <row r="662" spans="1:3">
      <c r="A662" s="55"/>
      <c r="B662" s="8"/>
      <c r="C662" s="54"/>
    </row>
    <row r="663" spans="1:3">
      <c r="A663" s="55"/>
      <c r="B663" s="8"/>
      <c r="C663" s="54"/>
    </row>
    <row r="664" spans="1:3">
      <c r="A664" s="55"/>
      <c r="B664" s="8"/>
      <c r="C664" s="54"/>
    </row>
    <row r="665" spans="1:3">
      <c r="A665" s="55"/>
      <c r="B665" s="8"/>
      <c r="C665" s="54"/>
    </row>
    <row r="666" spans="1:3">
      <c r="A666" s="55"/>
      <c r="B666" s="8"/>
      <c r="C666" s="54"/>
    </row>
    <row r="667" spans="1:3">
      <c r="A667" s="55"/>
      <c r="B667" s="8"/>
      <c r="C667" s="54"/>
    </row>
    <row r="668" spans="1:3">
      <c r="A668" s="55"/>
      <c r="B668" s="8"/>
      <c r="C668" s="54"/>
    </row>
    <row r="669" spans="1:3">
      <c r="A669" s="55"/>
      <c r="B669" s="8"/>
      <c r="C669" s="54"/>
    </row>
    <row r="670" spans="1:3">
      <c r="A670" s="55"/>
      <c r="B670" s="8"/>
      <c r="C670" s="54"/>
    </row>
    <row r="671" spans="1:3">
      <c r="A671" s="55"/>
      <c r="B671" s="8"/>
      <c r="C671" s="54"/>
    </row>
    <row r="672" spans="1:3">
      <c r="A672" s="55"/>
      <c r="B672" s="8"/>
      <c r="C672" s="54"/>
    </row>
    <row r="673" spans="1:3">
      <c r="A673" s="55"/>
      <c r="B673" s="8"/>
      <c r="C673" s="54"/>
    </row>
    <row r="674" spans="1:3">
      <c r="A674" s="55"/>
      <c r="B674" s="8"/>
      <c r="C674" s="54"/>
    </row>
    <row r="675" spans="1:3">
      <c r="A675" s="55"/>
      <c r="B675" s="8"/>
      <c r="C675" s="54"/>
    </row>
    <row r="676" spans="1:3">
      <c r="A676" s="55"/>
      <c r="B676" s="8"/>
      <c r="C676" s="54"/>
    </row>
    <row r="677" spans="1:3">
      <c r="A677" s="55"/>
      <c r="B677" s="8"/>
      <c r="C677" s="54"/>
    </row>
    <row r="678" spans="1:3">
      <c r="A678" s="55"/>
      <c r="B678" s="8"/>
      <c r="C678" s="54"/>
    </row>
    <row r="679" spans="1:3">
      <c r="A679" s="55"/>
      <c r="B679" s="8"/>
      <c r="C679" s="54"/>
    </row>
    <row r="680" spans="1:3">
      <c r="A680" s="55"/>
      <c r="B680" s="8"/>
      <c r="C680" s="54"/>
    </row>
    <row r="681" spans="1:3">
      <c r="A681" s="55"/>
      <c r="B681" s="8"/>
      <c r="C681" s="54"/>
    </row>
    <row r="682" spans="1:3">
      <c r="A682" s="55"/>
      <c r="B682" s="8"/>
      <c r="C682" s="54"/>
    </row>
    <row r="683" spans="1:3">
      <c r="A683" s="55"/>
      <c r="B683" s="8"/>
      <c r="C683" s="54"/>
    </row>
    <row r="684" spans="1:3">
      <c r="A684" s="55"/>
      <c r="B684" s="8"/>
      <c r="C684" s="54"/>
    </row>
    <row r="685" spans="1:3">
      <c r="A685" s="55"/>
      <c r="B685" s="8"/>
      <c r="C685" s="54"/>
    </row>
    <row r="686" spans="1:3">
      <c r="A686" s="55"/>
      <c r="B686" s="8"/>
      <c r="C686" s="54"/>
    </row>
    <row r="687" spans="1:3">
      <c r="A687" s="55"/>
      <c r="B687" s="8"/>
      <c r="C687" s="54"/>
    </row>
    <row r="688" spans="1:3">
      <c r="A688" s="55"/>
      <c r="B688" s="8"/>
      <c r="C688" s="54"/>
    </row>
    <row r="689" spans="1:3">
      <c r="A689" s="55"/>
      <c r="B689" s="8"/>
      <c r="C689" s="54"/>
    </row>
    <row r="690" spans="1:3">
      <c r="A690" s="55"/>
      <c r="B690" s="8"/>
      <c r="C690" s="54"/>
    </row>
    <row r="691" spans="1:3">
      <c r="A691" s="55"/>
      <c r="B691" s="8"/>
      <c r="C691" s="54"/>
    </row>
    <row r="692" spans="1:3">
      <c r="A692" s="55"/>
      <c r="B692" s="8"/>
      <c r="C692" s="54"/>
    </row>
    <row r="693" spans="1:3">
      <c r="A693" s="55"/>
      <c r="B693" s="8"/>
      <c r="C693" s="54"/>
    </row>
    <row r="694" spans="1:3">
      <c r="A694" s="55"/>
      <c r="B694" s="8"/>
      <c r="C694" s="54"/>
    </row>
    <row r="695" spans="1:3">
      <c r="A695" s="55"/>
      <c r="B695" s="8"/>
      <c r="C695" s="54"/>
    </row>
    <row r="696" spans="1:3">
      <c r="A696" s="55"/>
      <c r="B696" s="8"/>
      <c r="C696" s="54"/>
    </row>
    <row r="697" spans="1:3">
      <c r="A697" s="55"/>
      <c r="B697" s="8"/>
      <c r="C697" s="54"/>
    </row>
    <row r="698" spans="1:3">
      <c r="A698" s="55"/>
      <c r="B698" s="8"/>
      <c r="C698" s="54"/>
    </row>
    <row r="699" spans="1:3">
      <c r="A699" s="55"/>
      <c r="B699" s="8"/>
      <c r="C699" s="54"/>
    </row>
    <row r="700" spans="1:3">
      <c r="A700" s="55"/>
      <c r="B700" s="8"/>
      <c r="C700" s="54"/>
    </row>
    <row r="701" spans="1:3">
      <c r="A701" s="55"/>
      <c r="B701" s="8"/>
      <c r="C701" s="54"/>
    </row>
    <row r="702" spans="1:3">
      <c r="A702" s="55"/>
      <c r="B702" s="8"/>
      <c r="C702" s="54"/>
    </row>
    <row r="703" spans="1:3">
      <c r="A703" s="55"/>
      <c r="B703" s="8"/>
      <c r="C703" s="54"/>
    </row>
    <row r="704" spans="1:3">
      <c r="A704" s="55"/>
      <c r="B704" s="8"/>
      <c r="C704" s="54"/>
    </row>
    <row r="705" spans="1:3">
      <c r="A705" s="55"/>
      <c r="B705" s="8"/>
      <c r="C705" s="54"/>
    </row>
    <row r="706" spans="1:3">
      <c r="A706" s="55"/>
      <c r="B706" s="8"/>
      <c r="C706" s="54"/>
    </row>
    <row r="707" spans="1:3">
      <c r="A707" s="55"/>
      <c r="B707" s="8"/>
      <c r="C707" s="54"/>
    </row>
    <row r="708" spans="1:3">
      <c r="A708" s="55"/>
      <c r="B708" s="8"/>
      <c r="C708" s="54"/>
    </row>
    <row r="709" spans="1:3">
      <c r="A709" s="55"/>
      <c r="B709" s="8"/>
      <c r="C709" s="54"/>
    </row>
    <row r="710" spans="1:3">
      <c r="A710" s="55"/>
      <c r="B710" s="8"/>
      <c r="C710" s="54"/>
    </row>
    <row r="711" spans="1:3">
      <c r="A711" s="55"/>
      <c r="B711" s="8"/>
      <c r="C711" s="54"/>
    </row>
    <row r="712" spans="1:3">
      <c r="A712" s="55"/>
      <c r="B712" s="8"/>
      <c r="C712" s="54"/>
    </row>
    <row r="713" spans="1:3">
      <c r="A713" s="55"/>
      <c r="B713" s="8"/>
      <c r="C713" s="54"/>
    </row>
    <row r="714" spans="1:3">
      <c r="A714" s="55"/>
      <c r="B714" s="8"/>
      <c r="C714" s="54"/>
    </row>
    <row r="715" spans="1:3">
      <c r="A715" s="55"/>
      <c r="B715" s="8"/>
      <c r="C715" s="54"/>
    </row>
    <row r="716" spans="1:3">
      <c r="A716" s="55"/>
      <c r="B716" s="8"/>
      <c r="C716" s="54"/>
    </row>
    <row r="717" spans="1:3">
      <c r="A717" s="55"/>
      <c r="B717" s="8"/>
      <c r="C717" s="54"/>
    </row>
    <row r="718" spans="1:3">
      <c r="A718" s="55"/>
      <c r="B718" s="8"/>
      <c r="C718" s="54"/>
    </row>
    <row r="719" spans="1:3">
      <c r="A719" s="55"/>
      <c r="B719" s="8"/>
      <c r="C719" s="54"/>
    </row>
    <row r="720" spans="1:3">
      <c r="A720" s="55"/>
      <c r="B720" s="8"/>
      <c r="C720" s="54"/>
    </row>
    <row r="721" spans="1:3">
      <c r="A721" s="55"/>
      <c r="B721" s="8"/>
      <c r="C721" s="54"/>
    </row>
    <row r="722" spans="1:3">
      <c r="A722" s="55"/>
      <c r="B722" s="8"/>
      <c r="C722" s="54"/>
    </row>
    <row r="723" spans="1:3">
      <c r="A723" s="55"/>
      <c r="B723" s="8"/>
      <c r="C723" s="54"/>
    </row>
    <row r="724" spans="1:3">
      <c r="A724" s="55"/>
      <c r="B724" s="8"/>
      <c r="C724" s="54"/>
    </row>
    <row r="725" spans="1:3">
      <c r="A725" s="55"/>
      <c r="B725" s="8"/>
      <c r="C725" s="54"/>
    </row>
    <row r="726" spans="1:3">
      <c r="A726" s="55"/>
      <c r="B726" s="8"/>
      <c r="C726" s="54"/>
    </row>
    <row r="727" spans="1:3">
      <c r="A727" s="55"/>
      <c r="B727" s="8"/>
      <c r="C727" s="54"/>
    </row>
    <row r="728" spans="1:3">
      <c r="A728" s="55"/>
      <c r="B728" s="8"/>
      <c r="C728" s="54"/>
    </row>
    <row r="729" spans="1:3">
      <c r="A729" s="55"/>
      <c r="B729" s="8"/>
      <c r="C729" s="54"/>
    </row>
    <row r="730" spans="1:3">
      <c r="A730" s="55"/>
      <c r="B730" s="8"/>
      <c r="C730" s="54"/>
    </row>
    <row r="731" spans="1:3">
      <c r="A731" s="55"/>
      <c r="B731" s="8"/>
      <c r="C731" s="54"/>
    </row>
    <row r="732" spans="1:3">
      <c r="A732" s="55"/>
      <c r="B732" s="8"/>
      <c r="C732" s="54"/>
    </row>
    <row r="733" spans="1:3">
      <c r="A733" s="55"/>
      <c r="B733" s="8"/>
      <c r="C733" s="54"/>
    </row>
    <row r="734" spans="1:3">
      <c r="A734" s="55"/>
      <c r="B734" s="8"/>
      <c r="C734" s="54"/>
    </row>
    <row r="735" spans="1:3">
      <c r="A735" s="55"/>
      <c r="B735" s="8"/>
      <c r="C735" s="54"/>
    </row>
    <row r="736" spans="1:3">
      <c r="A736" s="55"/>
      <c r="B736" s="8"/>
      <c r="C736" s="54"/>
    </row>
    <row r="737" spans="1:3">
      <c r="A737" s="55"/>
      <c r="B737" s="8"/>
      <c r="C737" s="54"/>
    </row>
    <row r="738" spans="1:3">
      <c r="A738" s="55"/>
      <c r="B738" s="8"/>
      <c r="C738" s="54"/>
    </row>
    <row r="739" spans="1:3">
      <c r="A739" s="55"/>
      <c r="B739" s="8"/>
      <c r="C739" s="54"/>
    </row>
    <row r="740" spans="1:3">
      <c r="A740" s="55"/>
      <c r="B740" s="8"/>
      <c r="C740" s="54"/>
    </row>
    <row r="741" spans="1:3">
      <c r="A741" s="55"/>
      <c r="B741" s="8"/>
      <c r="C741" s="54"/>
    </row>
    <row r="742" spans="1:3">
      <c r="A742" s="55"/>
      <c r="B742" s="8"/>
      <c r="C742" s="54"/>
    </row>
    <row r="743" spans="1:3">
      <c r="A743" s="55"/>
      <c r="B743" s="8"/>
      <c r="C743" s="54"/>
    </row>
    <row r="744" spans="1:3">
      <c r="A744" s="55"/>
      <c r="B744" s="8"/>
      <c r="C744" s="54"/>
    </row>
    <row r="745" spans="1:3">
      <c r="A745" s="55"/>
      <c r="B745" s="8"/>
      <c r="C745" s="54"/>
    </row>
    <row r="746" spans="1:3">
      <c r="A746" s="55"/>
      <c r="B746" s="8"/>
      <c r="C746" s="54"/>
    </row>
    <row r="747" spans="1:3">
      <c r="A747" s="55"/>
      <c r="B747" s="8"/>
      <c r="C747" s="54"/>
    </row>
    <row r="748" spans="1:3">
      <c r="A748" s="55"/>
      <c r="B748" s="8"/>
      <c r="C748" s="54"/>
    </row>
    <row r="749" spans="1:3">
      <c r="A749" s="55"/>
      <c r="B749" s="8"/>
      <c r="C749" s="54"/>
    </row>
    <row r="750" spans="1:3">
      <c r="A750" s="55"/>
      <c r="B750" s="8"/>
      <c r="C750" s="54"/>
    </row>
    <row r="751" spans="1:3">
      <c r="A751" s="55"/>
      <c r="B751" s="8"/>
      <c r="C751" s="54"/>
    </row>
    <row r="752" spans="1:3">
      <c r="A752" s="55"/>
      <c r="B752" s="8"/>
      <c r="C752" s="54"/>
    </row>
    <row r="753" spans="1:3">
      <c r="A753" s="55"/>
      <c r="B753" s="8"/>
      <c r="C753" s="54"/>
    </row>
    <row r="754" spans="1:3">
      <c r="A754" s="55"/>
      <c r="B754" s="8"/>
      <c r="C754" s="54"/>
    </row>
    <row r="755" spans="1:3">
      <c r="A755" s="55"/>
      <c r="B755" s="8"/>
      <c r="C755" s="54"/>
    </row>
    <row r="756" spans="1:3">
      <c r="A756" s="55"/>
      <c r="B756" s="8"/>
      <c r="C756" s="54"/>
    </row>
    <row r="757" spans="1:3">
      <c r="A757" s="55"/>
      <c r="B757" s="8"/>
      <c r="C757" s="54"/>
    </row>
    <row r="758" spans="1:3">
      <c r="A758" s="55"/>
      <c r="B758" s="8"/>
      <c r="C758" s="54"/>
    </row>
    <row r="759" spans="1:3">
      <c r="A759" s="55"/>
      <c r="B759" s="8"/>
      <c r="C759" s="54"/>
    </row>
    <row r="760" spans="1:3">
      <c r="A760" s="55"/>
      <c r="B760" s="8"/>
      <c r="C760" s="54"/>
    </row>
    <row r="761" spans="1:3">
      <c r="A761" s="55"/>
      <c r="B761" s="8"/>
      <c r="C761" s="54"/>
    </row>
    <row r="762" spans="1:3">
      <c r="A762" s="55"/>
      <c r="B762" s="8"/>
      <c r="C762" s="54"/>
    </row>
    <row r="763" spans="1:3">
      <c r="A763" s="55"/>
      <c r="B763" s="8"/>
      <c r="C763" s="54"/>
    </row>
    <row r="764" spans="1:3">
      <c r="A764" s="55"/>
      <c r="B764" s="8"/>
      <c r="C764" s="54"/>
    </row>
    <row r="765" spans="1:3">
      <c r="A765" s="55"/>
      <c r="B765" s="8"/>
      <c r="C765" s="54"/>
    </row>
    <row r="766" spans="1:3">
      <c r="A766" s="55"/>
      <c r="B766" s="8"/>
      <c r="C766" s="54"/>
    </row>
    <row r="767" spans="1:3">
      <c r="A767" s="55"/>
      <c r="B767" s="8"/>
      <c r="C767" s="54"/>
    </row>
    <row r="768" spans="1:3">
      <c r="A768" s="55"/>
      <c r="B768" s="8"/>
      <c r="C768" s="54"/>
    </row>
    <row r="769" spans="1:3">
      <c r="A769" s="55"/>
      <c r="B769" s="8"/>
      <c r="C769" s="54"/>
    </row>
    <row r="770" spans="1:3">
      <c r="A770" s="55"/>
      <c r="B770" s="8"/>
      <c r="C770" s="54"/>
    </row>
    <row r="771" spans="1:3">
      <c r="A771" s="55"/>
      <c r="B771" s="8"/>
      <c r="C771" s="54"/>
    </row>
    <row r="772" spans="1:3">
      <c r="A772" s="55"/>
      <c r="B772" s="8"/>
      <c r="C772" s="54"/>
    </row>
    <row r="773" spans="1:3">
      <c r="A773" s="55"/>
      <c r="B773" s="8"/>
      <c r="C773" s="54"/>
    </row>
    <row r="774" spans="1:3">
      <c r="A774" s="55"/>
      <c r="B774" s="8"/>
      <c r="C774" s="54"/>
    </row>
    <row r="775" spans="1:3">
      <c r="A775" s="55"/>
      <c r="B775" s="8"/>
      <c r="C775" s="54"/>
    </row>
    <row r="776" spans="1:3">
      <c r="A776" s="55"/>
      <c r="B776" s="8"/>
      <c r="C776" s="54"/>
    </row>
    <row r="777" spans="1:3">
      <c r="A777" s="55"/>
      <c r="B777" s="8"/>
      <c r="C777" s="54"/>
    </row>
    <row r="778" spans="1:3">
      <c r="A778" s="55"/>
      <c r="B778" s="8"/>
      <c r="C778" s="54"/>
    </row>
    <row r="779" spans="1:3">
      <c r="A779" s="55"/>
      <c r="B779" s="8"/>
      <c r="C779" s="54"/>
    </row>
    <row r="780" spans="1:3">
      <c r="A780" s="55"/>
      <c r="B780" s="8"/>
      <c r="C780" s="54"/>
    </row>
    <row r="781" spans="1:3">
      <c r="A781" s="55"/>
      <c r="B781" s="8"/>
      <c r="C781" s="54"/>
    </row>
    <row r="782" spans="1:3">
      <c r="A782" s="55"/>
      <c r="B782" s="8"/>
      <c r="C782" s="54"/>
    </row>
    <row r="783" spans="1:3">
      <c r="A783" s="55"/>
      <c r="B783" s="8"/>
      <c r="C783" s="54"/>
    </row>
    <row r="784" spans="1:3">
      <c r="A784" s="55"/>
      <c r="B784" s="8"/>
      <c r="C784" s="54"/>
    </row>
    <row r="785" spans="1:3">
      <c r="A785" s="55"/>
      <c r="B785" s="8"/>
      <c r="C785" s="54"/>
    </row>
    <row r="786" spans="1:3">
      <c r="A786" s="55"/>
      <c r="B786" s="8"/>
      <c r="C786" s="54"/>
    </row>
    <row r="787" spans="1:3">
      <c r="A787" s="55"/>
      <c r="B787" s="8"/>
      <c r="C787" s="54"/>
    </row>
    <row r="788" spans="1:3">
      <c r="A788" s="55"/>
      <c r="B788" s="8"/>
      <c r="C788" s="54"/>
    </row>
    <row r="789" spans="1:3">
      <c r="A789" s="55"/>
      <c r="B789" s="8"/>
      <c r="C789" s="54"/>
    </row>
    <row r="790" spans="1:3">
      <c r="A790" s="55"/>
      <c r="B790" s="8"/>
      <c r="C790" s="54"/>
    </row>
    <row r="791" spans="1:3">
      <c r="A791" s="55"/>
      <c r="B791" s="8"/>
      <c r="C791" s="54"/>
    </row>
    <row r="792" spans="1:3">
      <c r="A792" s="55"/>
      <c r="B792" s="8"/>
      <c r="C792" s="54"/>
    </row>
    <row r="793" spans="1:3">
      <c r="A793" s="55"/>
      <c r="B793" s="8"/>
      <c r="C793" s="54"/>
    </row>
    <row r="794" spans="1:3">
      <c r="A794" s="55"/>
      <c r="B794" s="8"/>
      <c r="C794" s="54"/>
    </row>
    <row r="795" spans="1:3">
      <c r="A795" s="55"/>
      <c r="B795" s="8"/>
      <c r="C795" s="54"/>
    </row>
    <row r="796" spans="1:3">
      <c r="A796" s="55"/>
      <c r="B796" s="8"/>
      <c r="C796" s="54"/>
    </row>
    <row r="797" spans="1:3">
      <c r="A797" s="55"/>
      <c r="B797" s="8"/>
      <c r="C797" s="54"/>
    </row>
    <row r="798" spans="1:3">
      <c r="A798" s="55"/>
      <c r="B798" s="8"/>
      <c r="C798" s="54"/>
    </row>
    <row r="799" spans="1:3">
      <c r="A799" s="55"/>
      <c r="B799" s="8"/>
      <c r="C799" s="54"/>
    </row>
    <row r="800" spans="1:3">
      <c r="A800" s="55"/>
      <c r="B800" s="8"/>
      <c r="C800" s="54"/>
    </row>
    <row r="801" spans="1:3">
      <c r="A801" s="55"/>
      <c r="B801" s="8"/>
      <c r="C801" s="54"/>
    </row>
    <row r="802" spans="1:3">
      <c r="A802" s="55"/>
      <c r="B802" s="8"/>
      <c r="C802" s="54"/>
    </row>
    <row r="803" spans="1:3">
      <c r="A803" s="55"/>
      <c r="B803" s="8"/>
      <c r="C803" s="54"/>
    </row>
    <row r="804" spans="1:3">
      <c r="A804" s="55"/>
      <c r="B804" s="8"/>
      <c r="C804" s="54"/>
    </row>
    <row r="805" spans="1:3">
      <c r="A805" s="55"/>
      <c r="B805" s="8"/>
      <c r="C805" s="54"/>
    </row>
    <row r="806" spans="1:3">
      <c r="A806" s="55"/>
      <c r="B806" s="8"/>
      <c r="C806" s="54"/>
    </row>
    <row r="807" spans="1:3">
      <c r="A807" s="55"/>
      <c r="B807" s="8"/>
      <c r="C807" s="54"/>
    </row>
    <row r="808" spans="1:3">
      <c r="A808" s="55"/>
      <c r="B808" s="8"/>
      <c r="C808" s="54"/>
    </row>
    <row r="809" spans="1:3">
      <c r="A809" s="55"/>
      <c r="B809" s="8"/>
      <c r="C809" s="54"/>
    </row>
    <row r="810" spans="1:3">
      <c r="A810" s="55"/>
      <c r="B810" s="8"/>
      <c r="C810" s="54"/>
    </row>
    <row r="811" spans="1:3">
      <c r="A811" s="55"/>
      <c r="B811" s="8"/>
      <c r="C811" s="54"/>
    </row>
    <row r="812" spans="1:3">
      <c r="A812" s="55"/>
      <c r="B812" s="8"/>
      <c r="C812" s="54"/>
    </row>
    <row r="813" spans="1:3">
      <c r="A813" s="55"/>
      <c r="B813" s="8"/>
      <c r="C813" s="54"/>
    </row>
    <row r="814" spans="1:3">
      <c r="A814" s="55"/>
      <c r="B814" s="8"/>
      <c r="C814" s="54"/>
    </row>
    <row r="815" spans="1:3">
      <c r="A815" s="55"/>
      <c r="B815" s="8"/>
      <c r="C815" s="54"/>
    </row>
    <row r="816" spans="1:3">
      <c r="A816" s="55"/>
      <c r="B816" s="8"/>
      <c r="C816" s="54"/>
    </row>
    <row r="817" spans="1:3">
      <c r="A817" s="55"/>
      <c r="B817" s="8"/>
      <c r="C817" s="54"/>
    </row>
    <row r="818" spans="1:3">
      <c r="A818" s="55"/>
      <c r="B818" s="8"/>
      <c r="C818" s="54"/>
    </row>
    <row r="819" spans="1:3">
      <c r="A819" s="55"/>
      <c r="B819" s="8"/>
      <c r="C819" s="54"/>
    </row>
    <row r="820" spans="1:3">
      <c r="A820" s="55"/>
      <c r="B820" s="8"/>
      <c r="C820" s="54"/>
    </row>
    <row r="821" spans="1:3">
      <c r="A821" s="55"/>
      <c r="B821" s="8"/>
      <c r="C821" s="54"/>
    </row>
    <row r="822" spans="1:3">
      <c r="A822" s="55"/>
      <c r="B822" s="8"/>
      <c r="C822" s="54"/>
    </row>
    <row r="823" spans="1:3">
      <c r="A823" s="55"/>
      <c r="B823" s="8"/>
      <c r="C823" s="54"/>
    </row>
    <row r="824" spans="1:3">
      <c r="A824" s="55"/>
      <c r="B824" s="8"/>
      <c r="C824" s="54"/>
    </row>
    <row r="825" spans="1:3">
      <c r="A825" s="55"/>
      <c r="B825" s="8"/>
      <c r="C825" s="54"/>
    </row>
    <row r="826" spans="1:3">
      <c r="A826" s="55"/>
      <c r="B826" s="8"/>
      <c r="C826" s="54"/>
    </row>
    <row r="827" spans="1:3">
      <c r="A827" s="55"/>
      <c r="B827" s="8"/>
      <c r="C827" s="54"/>
    </row>
    <row r="828" spans="1:3">
      <c r="A828" s="55"/>
      <c r="B828" s="8"/>
      <c r="C828" s="54"/>
    </row>
    <row r="829" spans="1:3">
      <c r="A829" s="55"/>
      <c r="B829" s="8"/>
      <c r="C829" s="54"/>
    </row>
    <row r="830" spans="1:3">
      <c r="A830" s="55"/>
      <c r="B830" s="8"/>
      <c r="C830" s="54"/>
    </row>
    <row r="831" spans="1:3">
      <c r="A831" s="55"/>
      <c r="B831" s="8"/>
      <c r="C831" s="54"/>
    </row>
    <row r="832" spans="1:3">
      <c r="A832" s="55"/>
      <c r="B832" s="8"/>
      <c r="C832" s="54"/>
    </row>
    <row r="833" spans="1:3">
      <c r="A833" s="55"/>
      <c r="B833" s="8"/>
      <c r="C833" s="54"/>
    </row>
    <row r="834" spans="1:3">
      <c r="A834" s="55"/>
      <c r="B834" s="8"/>
      <c r="C834" s="54"/>
    </row>
    <row r="835" spans="1:3">
      <c r="A835" s="55"/>
      <c r="B835" s="8"/>
      <c r="C835" s="54"/>
    </row>
    <row r="836" spans="1:3">
      <c r="A836" s="55"/>
      <c r="B836" s="8"/>
      <c r="C836" s="54"/>
    </row>
    <row r="837" spans="1:3">
      <c r="A837" s="55"/>
      <c r="B837" s="8"/>
      <c r="C837" s="54"/>
    </row>
    <row r="838" spans="1:3">
      <c r="A838" s="55"/>
      <c r="B838" s="8"/>
      <c r="C838" s="54"/>
    </row>
    <row r="839" spans="1:3">
      <c r="A839" s="55"/>
      <c r="B839" s="8"/>
      <c r="C839" s="54"/>
    </row>
    <row r="840" spans="1:3">
      <c r="A840" s="55"/>
      <c r="B840" s="8"/>
      <c r="C840" s="54"/>
    </row>
    <row r="841" spans="1:3">
      <c r="A841" s="55"/>
      <c r="B841" s="8"/>
      <c r="C841" s="54"/>
    </row>
    <row r="842" spans="1:3">
      <c r="A842" s="55"/>
      <c r="B842" s="8"/>
      <c r="C842" s="54"/>
    </row>
    <row r="843" spans="1:3">
      <c r="A843" s="55"/>
      <c r="B843" s="8"/>
      <c r="C843" s="54"/>
    </row>
    <row r="844" spans="1:3">
      <c r="A844" s="55"/>
      <c r="B844" s="8"/>
      <c r="C844" s="54"/>
    </row>
    <row r="845" spans="1:3">
      <c r="A845" s="55"/>
      <c r="B845" s="8"/>
      <c r="C845" s="54"/>
    </row>
    <row r="846" spans="1:3">
      <c r="A846" s="55"/>
      <c r="B846" s="8"/>
      <c r="C846" s="54"/>
    </row>
    <row r="847" spans="1:3">
      <c r="A847" s="55"/>
      <c r="B847" s="8"/>
      <c r="C847" s="54"/>
    </row>
    <row r="848" spans="1:3">
      <c r="A848" s="55"/>
      <c r="B848" s="8"/>
      <c r="C848" s="54"/>
    </row>
    <row r="849" spans="1:3">
      <c r="A849" s="55"/>
      <c r="B849" s="8"/>
      <c r="C849" s="54"/>
    </row>
    <row r="850" spans="1:3">
      <c r="A850" s="55"/>
      <c r="B850" s="8"/>
      <c r="C850" s="54"/>
    </row>
    <row r="851" spans="1:3">
      <c r="A851" s="55"/>
      <c r="B851" s="8"/>
      <c r="C851" s="54"/>
    </row>
    <row r="852" spans="1:3">
      <c r="A852" s="55"/>
      <c r="B852" s="8"/>
      <c r="C852" s="54"/>
    </row>
    <row r="853" spans="1:3">
      <c r="A853" s="55"/>
      <c r="B853" s="8"/>
      <c r="C853" s="54"/>
    </row>
    <row r="854" spans="1:3">
      <c r="A854" s="55"/>
      <c r="B854" s="8"/>
      <c r="C854" s="54"/>
    </row>
    <row r="855" spans="1:3">
      <c r="A855" s="55"/>
      <c r="B855" s="8"/>
      <c r="C855" s="54"/>
    </row>
    <row r="856" spans="1:3">
      <c r="A856" s="55"/>
      <c r="B856" s="8"/>
      <c r="C856" s="54"/>
    </row>
    <row r="857" spans="1:3">
      <c r="A857" s="55"/>
      <c r="B857" s="8"/>
      <c r="C857" s="54"/>
    </row>
    <row r="858" spans="1:3">
      <c r="A858" s="55"/>
      <c r="B858" s="8"/>
      <c r="C858" s="54"/>
    </row>
    <row r="859" spans="1:3">
      <c r="A859" s="55"/>
      <c r="B859" s="8"/>
      <c r="C859" s="54"/>
    </row>
    <row r="860" spans="1:3">
      <c r="A860" s="55"/>
      <c r="B860" s="8"/>
      <c r="C860" s="54"/>
    </row>
    <row r="861" spans="1:3">
      <c r="A861" s="55"/>
      <c r="B861" s="8"/>
      <c r="C861" s="54"/>
    </row>
    <row r="862" spans="1:3">
      <c r="A862" s="55"/>
      <c r="B862" s="8"/>
      <c r="C862" s="54"/>
    </row>
    <row r="863" spans="1:3">
      <c r="A863" s="55"/>
      <c r="B863" s="8"/>
      <c r="C863" s="54"/>
    </row>
    <row r="864" spans="1:3">
      <c r="A864" s="55"/>
      <c r="B864" s="8"/>
      <c r="C864" s="54"/>
    </row>
    <row r="865" spans="1:3">
      <c r="A865" s="55"/>
      <c r="B865" s="8"/>
      <c r="C865" s="54"/>
    </row>
    <row r="866" spans="1:3">
      <c r="A866" s="55"/>
      <c r="B866" s="8"/>
      <c r="C866" s="54"/>
    </row>
    <row r="867" spans="1:3">
      <c r="A867" s="55"/>
      <c r="B867" s="8"/>
      <c r="C867" s="54"/>
    </row>
    <row r="868" spans="1:3">
      <c r="A868" s="55"/>
      <c r="B868" s="8"/>
      <c r="C868" s="54"/>
    </row>
    <row r="869" spans="1:3">
      <c r="A869" s="55"/>
      <c r="B869" s="8"/>
      <c r="C869" s="54"/>
    </row>
    <row r="870" spans="1:3">
      <c r="A870" s="55"/>
      <c r="B870" s="8"/>
      <c r="C870" s="54"/>
    </row>
    <row r="871" spans="1:3">
      <c r="A871" s="55"/>
      <c r="B871" s="8"/>
      <c r="C871" s="54"/>
    </row>
    <row r="872" spans="1:3">
      <c r="A872" s="55"/>
      <c r="B872" s="8"/>
      <c r="C872" s="54"/>
    </row>
    <row r="873" spans="1:3">
      <c r="A873" s="55"/>
      <c r="B873" s="8"/>
      <c r="C873" s="54"/>
    </row>
    <row r="874" spans="1:3">
      <c r="A874" s="55"/>
      <c r="B874" s="8"/>
      <c r="C874" s="54"/>
    </row>
    <row r="875" spans="1:3">
      <c r="A875" s="55"/>
      <c r="B875" s="8"/>
      <c r="C875" s="54"/>
    </row>
    <row r="876" spans="1:3">
      <c r="A876" s="55"/>
      <c r="B876" s="8"/>
      <c r="C876" s="54"/>
    </row>
    <row r="877" spans="1:3">
      <c r="A877" s="55"/>
      <c r="B877" s="8"/>
      <c r="C877" s="54"/>
    </row>
    <row r="878" spans="1:3">
      <c r="A878" s="55"/>
      <c r="B878" s="8"/>
      <c r="C878" s="54"/>
    </row>
    <row r="879" spans="1:3">
      <c r="A879" s="55"/>
      <c r="B879" s="8"/>
      <c r="C879" s="54"/>
    </row>
    <row r="880" spans="1:3">
      <c r="A880" s="55"/>
      <c r="B880" s="8"/>
      <c r="C880" s="54"/>
    </row>
    <row r="881" spans="1:3">
      <c r="A881" s="55"/>
      <c r="B881" s="8"/>
      <c r="C881" s="54"/>
    </row>
    <row r="882" spans="1:3">
      <c r="A882" s="55"/>
      <c r="B882" s="8"/>
      <c r="C882" s="54"/>
    </row>
    <row r="883" spans="1:3">
      <c r="A883" s="55"/>
      <c r="B883" s="8"/>
      <c r="C883" s="54"/>
    </row>
    <row r="884" spans="1:3">
      <c r="A884" s="55"/>
      <c r="B884" s="8"/>
      <c r="C884" s="54"/>
    </row>
    <row r="885" spans="1:3">
      <c r="A885" s="55"/>
      <c r="B885" s="8"/>
      <c r="C885" s="54"/>
    </row>
    <row r="886" spans="1:3">
      <c r="A886" s="55"/>
      <c r="B886" s="8"/>
      <c r="C886" s="54"/>
    </row>
    <row r="887" spans="1:3">
      <c r="A887" s="55"/>
      <c r="B887" s="8"/>
      <c r="C887" s="54"/>
    </row>
    <row r="888" spans="1:3">
      <c r="A888" s="55"/>
      <c r="B888" s="8"/>
      <c r="C888" s="54"/>
    </row>
    <row r="889" spans="1:3">
      <c r="A889" s="55"/>
      <c r="B889" s="8"/>
      <c r="C889" s="54"/>
    </row>
    <row r="890" spans="1:3">
      <c r="A890" s="55"/>
      <c r="B890" s="8"/>
      <c r="C890" s="54"/>
    </row>
    <row r="891" spans="1:3">
      <c r="A891" s="55"/>
      <c r="B891" s="8"/>
      <c r="C891" s="54"/>
    </row>
    <row r="892" spans="1:3">
      <c r="A892" s="55"/>
      <c r="B892" s="8"/>
      <c r="C892" s="54"/>
    </row>
    <row r="893" spans="1:3">
      <c r="A893" s="55"/>
      <c r="B893" s="8"/>
      <c r="C893" s="54"/>
    </row>
    <row r="894" spans="1:3">
      <c r="A894" s="55"/>
      <c r="B894" s="8"/>
      <c r="C894" s="54"/>
    </row>
    <row r="895" spans="1:3">
      <c r="A895" s="55"/>
      <c r="B895" s="8"/>
      <c r="C895" s="54"/>
    </row>
    <row r="896" spans="1:3">
      <c r="A896" s="55"/>
      <c r="B896" s="8"/>
      <c r="C896" s="54"/>
    </row>
    <row r="897" spans="1:3">
      <c r="A897" s="55"/>
      <c r="B897" s="8"/>
      <c r="C897" s="54"/>
    </row>
    <row r="898" spans="1:3">
      <c r="A898" s="55"/>
      <c r="B898" s="8"/>
      <c r="C898" s="54"/>
    </row>
    <row r="899" spans="1:3">
      <c r="A899" s="55"/>
      <c r="B899" s="8"/>
      <c r="C899" s="54"/>
    </row>
    <row r="900" spans="1:3">
      <c r="A900" s="55"/>
      <c r="B900" s="8"/>
      <c r="C900" s="54"/>
    </row>
    <row r="901" spans="1:3">
      <c r="A901" s="55"/>
      <c r="B901" s="8"/>
      <c r="C901" s="54"/>
    </row>
    <row r="902" spans="1:3">
      <c r="A902" s="55"/>
      <c r="B902" s="8"/>
      <c r="C902" s="54"/>
    </row>
    <row r="903" spans="1:3">
      <c r="A903" s="55"/>
      <c r="B903" s="8"/>
      <c r="C903" s="54"/>
    </row>
    <row r="904" spans="1:3">
      <c r="A904" s="55"/>
      <c r="B904" s="8"/>
      <c r="C904" s="54"/>
    </row>
    <row r="905" spans="1:3">
      <c r="A905" s="55"/>
      <c r="B905" s="8"/>
      <c r="C905" s="54"/>
    </row>
    <row r="906" spans="1:3">
      <c r="A906" s="55"/>
      <c r="B906" s="8"/>
      <c r="C906" s="54"/>
    </row>
    <row r="907" spans="1:3">
      <c r="A907" s="55"/>
      <c r="B907" s="8"/>
      <c r="C907" s="54"/>
    </row>
    <row r="908" spans="1:3">
      <c r="A908" s="55"/>
      <c r="B908" s="8"/>
      <c r="C908" s="54"/>
    </row>
    <row r="909" spans="1:3">
      <c r="A909" s="55"/>
      <c r="B909" s="8"/>
      <c r="C909" s="54"/>
    </row>
    <row r="910" spans="1:3">
      <c r="A910" s="55"/>
      <c r="B910" s="8"/>
      <c r="C910" s="54"/>
    </row>
    <row r="911" spans="1:3">
      <c r="A911" s="55"/>
      <c r="B911" s="8"/>
      <c r="C911" s="54"/>
    </row>
    <row r="912" spans="1:3">
      <c r="A912" s="55"/>
      <c r="B912" s="8"/>
      <c r="C912" s="54"/>
    </row>
    <row r="913" spans="1:3">
      <c r="A913" s="55"/>
      <c r="B913" s="8"/>
      <c r="C913" s="54"/>
    </row>
    <row r="914" spans="1:3">
      <c r="A914" s="55"/>
      <c r="B914" s="8"/>
      <c r="C914" s="54"/>
    </row>
    <row r="915" spans="1:3">
      <c r="A915" s="55"/>
      <c r="B915" s="8"/>
      <c r="C915" s="54"/>
    </row>
    <row r="916" spans="1:3">
      <c r="A916" s="55"/>
      <c r="B916" s="8"/>
      <c r="C916" s="54"/>
    </row>
    <row r="917" spans="1:3">
      <c r="A917" s="55"/>
      <c r="B917" s="8"/>
      <c r="C917" s="54"/>
    </row>
    <row r="918" spans="1:3">
      <c r="A918" s="55"/>
      <c r="B918" s="8"/>
      <c r="C918" s="54"/>
    </row>
    <row r="919" spans="1:3">
      <c r="A919" s="55"/>
      <c r="B919" s="8"/>
      <c r="C919" s="54"/>
    </row>
    <row r="920" spans="1:3">
      <c r="A920" s="55"/>
      <c r="B920" s="8"/>
      <c r="C920" s="54"/>
    </row>
    <row r="921" spans="1:3">
      <c r="A921" s="55"/>
      <c r="B921" s="8"/>
      <c r="C921" s="54"/>
    </row>
    <row r="922" spans="1:3">
      <c r="A922" s="55"/>
      <c r="B922" s="8"/>
      <c r="C922" s="54"/>
    </row>
    <row r="923" spans="1:3">
      <c r="A923" s="55"/>
      <c r="B923" s="8"/>
      <c r="C923" s="54"/>
    </row>
    <row r="924" spans="1:3">
      <c r="A924" s="55"/>
      <c r="B924" s="8"/>
      <c r="C924" s="54"/>
    </row>
    <row r="925" spans="1:3">
      <c r="A925" s="55"/>
      <c r="B925" s="8"/>
      <c r="C925" s="54"/>
    </row>
    <row r="926" spans="1:3">
      <c r="A926" s="55"/>
      <c r="B926" s="8"/>
      <c r="C926" s="54"/>
    </row>
    <row r="927" spans="1:3">
      <c r="A927" s="55"/>
      <c r="B927" s="8"/>
      <c r="C927" s="54"/>
    </row>
    <row r="928" spans="1:3">
      <c r="A928" s="55"/>
      <c r="B928" s="8"/>
      <c r="C928" s="54"/>
    </row>
    <row r="929" spans="1:3">
      <c r="A929" s="55"/>
      <c r="B929" s="8"/>
      <c r="C929" s="54"/>
    </row>
    <row r="930" spans="1:3">
      <c r="A930" s="55"/>
      <c r="B930" s="8"/>
      <c r="C930" s="54"/>
    </row>
    <row r="931" spans="1:3">
      <c r="A931" s="55"/>
      <c r="B931" s="8"/>
      <c r="C931" s="54"/>
    </row>
    <row r="932" spans="1:3">
      <c r="A932" s="55"/>
      <c r="B932" s="8"/>
      <c r="C932" s="54"/>
    </row>
    <row r="933" spans="1:3">
      <c r="A933" s="55"/>
      <c r="B933" s="8"/>
      <c r="C933" s="54"/>
    </row>
    <row r="934" spans="1:3">
      <c r="A934" s="55"/>
      <c r="B934" s="8"/>
      <c r="C934" s="54"/>
    </row>
    <row r="935" spans="1:3">
      <c r="A935" s="55"/>
      <c r="B935" s="8"/>
      <c r="C935" s="54"/>
    </row>
    <row r="936" spans="1:3">
      <c r="A936" s="55"/>
      <c r="B936" s="8"/>
      <c r="C936" s="54"/>
    </row>
    <row r="937" spans="1:3">
      <c r="A937" s="55"/>
      <c r="B937" s="8"/>
      <c r="C937" s="54"/>
    </row>
    <row r="938" spans="1:3">
      <c r="A938" s="55"/>
      <c r="B938" s="8"/>
      <c r="C938" s="54"/>
    </row>
    <row r="939" spans="1:3">
      <c r="A939" s="55"/>
      <c r="B939" s="8"/>
      <c r="C939" s="54"/>
    </row>
    <row r="940" spans="1:3">
      <c r="A940" s="55"/>
      <c r="B940" s="8"/>
      <c r="C940" s="54"/>
    </row>
    <row r="941" spans="1:3">
      <c r="A941" s="55"/>
      <c r="B941" s="8"/>
      <c r="C941" s="54"/>
    </row>
    <row r="942" spans="1:3">
      <c r="A942" s="55"/>
      <c r="B942" s="8"/>
      <c r="C942" s="54"/>
    </row>
    <row r="943" spans="1:3">
      <c r="A943" s="55"/>
      <c r="B943" s="8"/>
      <c r="C943" s="54"/>
    </row>
    <row r="944" spans="1:3">
      <c r="A944" s="55"/>
      <c r="B944" s="8"/>
      <c r="C944" s="54"/>
    </row>
    <row r="945" spans="1:3">
      <c r="A945" s="55"/>
      <c r="B945" s="8"/>
      <c r="C945" s="54"/>
    </row>
    <row r="946" spans="1:3">
      <c r="A946" s="55"/>
      <c r="B946" s="8"/>
      <c r="C946" s="54"/>
    </row>
    <row r="947" spans="1:3">
      <c r="A947" s="55"/>
      <c r="B947" s="8"/>
      <c r="C947" s="54"/>
    </row>
    <row r="948" spans="1:3">
      <c r="A948" s="55"/>
      <c r="B948" s="8"/>
      <c r="C948" s="54"/>
    </row>
    <row r="949" spans="1:3">
      <c r="A949" s="55"/>
      <c r="B949" s="8"/>
      <c r="C949" s="54"/>
    </row>
    <row r="950" spans="1:3">
      <c r="A950" s="55"/>
      <c r="B950" s="8"/>
      <c r="C950" s="54"/>
    </row>
    <row r="951" spans="1:3">
      <c r="A951" s="55"/>
      <c r="B951" s="8"/>
      <c r="C951" s="54"/>
    </row>
    <row r="952" spans="1:3">
      <c r="A952" s="55"/>
      <c r="B952" s="8"/>
      <c r="C952" s="54"/>
    </row>
    <row r="953" spans="1:3">
      <c r="A953" s="55"/>
      <c r="B953" s="8"/>
      <c r="C953" s="54"/>
    </row>
    <row r="954" spans="1:3">
      <c r="A954" s="55"/>
      <c r="B954" s="8"/>
      <c r="C954" s="54"/>
    </row>
    <row r="955" spans="1:3">
      <c r="A955" s="55"/>
      <c r="B955" s="8"/>
      <c r="C955" s="54"/>
    </row>
    <row r="956" spans="1:3">
      <c r="A956" s="55"/>
      <c r="B956" s="8"/>
      <c r="C956" s="54"/>
    </row>
    <row r="957" spans="1:3">
      <c r="A957" s="55"/>
      <c r="B957" s="8"/>
      <c r="C957" s="54"/>
    </row>
    <row r="958" spans="1:3">
      <c r="A958" s="55"/>
      <c r="B958" s="8"/>
      <c r="C958" s="54"/>
    </row>
    <row r="959" spans="1:3">
      <c r="A959" s="55"/>
      <c r="B959" s="8"/>
      <c r="C959" s="54"/>
    </row>
    <row r="960" spans="1:3">
      <c r="A960" s="55"/>
      <c r="B960" s="8"/>
      <c r="C960" s="54"/>
    </row>
    <row r="961" spans="1:3">
      <c r="A961" s="55"/>
      <c r="B961" s="8"/>
      <c r="C961" s="54"/>
    </row>
    <row r="962" spans="1:3">
      <c r="A962" s="55"/>
      <c r="B962" s="8"/>
      <c r="C962" s="54"/>
    </row>
    <row r="963" spans="1:3">
      <c r="A963" s="55"/>
      <c r="B963" s="8"/>
      <c r="C963" s="54"/>
    </row>
    <row r="964" spans="1:3">
      <c r="A964" s="55"/>
      <c r="B964" s="8"/>
      <c r="C964" s="54"/>
    </row>
    <row r="965" spans="1:3">
      <c r="A965" s="55"/>
      <c r="B965" s="8"/>
      <c r="C965" s="54"/>
    </row>
    <row r="966" spans="1:3">
      <c r="A966" s="55"/>
      <c r="B966" s="8"/>
      <c r="C966" s="54"/>
    </row>
    <row r="967" spans="1:3">
      <c r="A967" s="55"/>
      <c r="B967" s="8"/>
      <c r="C967" s="54"/>
    </row>
    <row r="968" spans="1:3">
      <c r="A968" s="55"/>
      <c r="B968" s="8"/>
      <c r="C968" s="54"/>
    </row>
    <row r="969" spans="1:3">
      <c r="A969" s="55"/>
      <c r="B969" s="8"/>
      <c r="C969" s="54"/>
    </row>
    <row r="970" spans="1:3">
      <c r="A970" s="55"/>
      <c r="B970" s="8"/>
      <c r="C970" s="54"/>
    </row>
    <row r="971" spans="1:3">
      <c r="A971" s="55"/>
      <c r="B971" s="8"/>
      <c r="C971" s="54"/>
    </row>
    <row r="972" spans="1:3">
      <c r="A972" s="55"/>
      <c r="B972" s="8"/>
      <c r="C972" s="54"/>
    </row>
    <row r="973" spans="1:3">
      <c r="A973" s="55"/>
      <c r="B973" s="8"/>
      <c r="C973" s="54"/>
    </row>
    <row r="974" spans="1:3">
      <c r="A974" s="55"/>
      <c r="B974" s="8"/>
      <c r="C974" s="54"/>
    </row>
    <row r="975" spans="1:3">
      <c r="A975" s="55"/>
      <c r="B975" s="8"/>
      <c r="C975" s="54"/>
    </row>
    <row r="976" spans="1:3">
      <c r="A976" s="55"/>
      <c r="B976" s="8"/>
      <c r="C976" s="54"/>
    </row>
    <row r="977" spans="1:3">
      <c r="A977" s="55"/>
      <c r="B977" s="8"/>
      <c r="C977" s="54"/>
    </row>
    <row r="978" spans="1:3">
      <c r="A978" s="55"/>
      <c r="B978" s="8"/>
      <c r="C978" s="54"/>
    </row>
    <row r="979" spans="1:3">
      <c r="A979" s="55"/>
      <c r="B979" s="8"/>
      <c r="C979" s="54"/>
    </row>
    <row r="980" spans="1:3">
      <c r="A980" s="55"/>
      <c r="B980" s="8"/>
      <c r="C980" s="54"/>
    </row>
    <row r="981" spans="1:3">
      <c r="A981" s="55"/>
      <c r="B981" s="8"/>
      <c r="C981" s="54"/>
    </row>
    <row r="982" spans="1:3">
      <c r="A982" s="55"/>
      <c r="B982" s="8"/>
      <c r="C982" s="54"/>
    </row>
    <row r="983" spans="1:3">
      <c r="A983" s="55"/>
      <c r="B983" s="8"/>
      <c r="C983" s="54"/>
    </row>
    <row r="984" spans="1:3">
      <c r="A984" s="55"/>
      <c r="B984" s="8"/>
      <c r="C984" s="54"/>
    </row>
    <row r="985" spans="1:3">
      <c r="A985" s="55"/>
      <c r="B985" s="8"/>
      <c r="C985" s="54"/>
    </row>
    <row r="986" spans="1:3">
      <c r="A986" s="55"/>
      <c r="B986" s="8"/>
      <c r="C986" s="54"/>
    </row>
    <row r="987" spans="1:3">
      <c r="A987" s="55"/>
      <c r="B987" s="8"/>
      <c r="C987" s="54"/>
    </row>
    <row r="988" spans="1:3">
      <c r="A988" s="55"/>
      <c r="B988" s="8"/>
      <c r="C988" s="54"/>
    </row>
    <row r="989" spans="1:3">
      <c r="A989" s="55"/>
      <c r="B989" s="8"/>
      <c r="C989" s="54"/>
    </row>
    <row r="990" spans="1:3">
      <c r="A990" s="55"/>
      <c r="B990" s="8"/>
      <c r="C990" s="54"/>
    </row>
    <row r="991" spans="1:3">
      <c r="A991" s="55"/>
      <c r="B991" s="8"/>
      <c r="C991" s="54"/>
    </row>
    <row r="992" spans="1:3">
      <c r="A992" s="55"/>
      <c r="B992" s="8"/>
      <c r="C992" s="54"/>
    </row>
    <row r="993" spans="1:3">
      <c r="A993" s="55"/>
      <c r="B993" s="8"/>
      <c r="C993" s="54"/>
    </row>
    <row r="994" spans="1:3">
      <c r="A994" s="55"/>
      <c r="B994" s="8"/>
      <c r="C994" s="54"/>
    </row>
    <row r="995" spans="1:3">
      <c r="A995" s="55"/>
      <c r="B995" s="8"/>
      <c r="C995" s="54"/>
    </row>
    <row r="996" spans="1:3">
      <c r="A996" s="55"/>
      <c r="B996" s="8"/>
      <c r="C996" s="54"/>
    </row>
    <row r="997" spans="1:3">
      <c r="A997" s="55"/>
      <c r="B997" s="8"/>
      <c r="C997" s="54"/>
    </row>
    <row r="998" spans="1:3">
      <c r="A998" s="55"/>
      <c r="B998" s="8"/>
      <c r="C998" s="54"/>
    </row>
    <row r="999" spans="1:3">
      <c r="A999" s="55"/>
      <c r="B999" s="8"/>
      <c r="C999" s="54"/>
    </row>
    <row r="1000" spans="1:3">
      <c r="A1000" s="55"/>
      <c r="B1000" s="8"/>
      <c r="C1000" s="54"/>
    </row>
    <row r="1001" spans="1:3">
      <c r="A1001" s="55"/>
      <c r="B1001" s="8"/>
      <c r="C1001" s="54"/>
    </row>
    <row r="1002" spans="1:3">
      <c r="A1002" s="55"/>
      <c r="B1002" s="8"/>
      <c r="C1002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 SHEET</vt:lpstr>
      <vt:lpstr>RULES</vt:lpstr>
      <vt:lpstr>FIXTURE</vt:lpstr>
      <vt:lpstr>RANK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t28558</cp:lastModifiedBy>
  <dcterms:modified xsi:type="dcterms:W3CDTF">2026-06-17T04:41:27Z</dcterms:modified>
</cp:coreProperties>
</file>