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 SHEET" sheetId="1" r:id="rId5"/>
    <sheet state="visible" name="RULES" sheetId="2" r:id="rId6"/>
    <sheet state="visible" name="FIXTURE" sheetId="3" r:id="rId7"/>
    <sheet state="visible" name="RANK LIST" sheetId="4" r:id="rId8"/>
  </sheets>
  <definedNames/>
  <calcPr/>
</workbook>
</file>

<file path=xl/sharedStrings.xml><?xml version="1.0" encoding="utf-8"?>
<sst xmlns="http://schemas.openxmlformats.org/spreadsheetml/2006/main" count="548" uniqueCount="212">
  <si>
    <t>NAME</t>
  </si>
  <si>
    <t>COUNT</t>
  </si>
  <si>
    <t>MATCH</t>
  </si>
  <si>
    <t>TOTAL GOALS</t>
  </si>
  <si>
    <t>ABU (ECE)</t>
  </si>
  <si>
    <t>POR</t>
  </si>
  <si>
    <t>CRO</t>
  </si>
  <si>
    <t>GHA</t>
  </si>
  <si>
    <t>COL</t>
  </si>
  <si>
    <t>CZE</t>
  </si>
  <si>
    <t>ABY (ECE)</t>
  </si>
  <si>
    <t>ENG</t>
  </si>
  <si>
    <t>AJITH (ME)</t>
  </si>
  <si>
    <t>ALBIN (ECE)</t>
  </si>
  <si>
    <t>ANISH J (ME)</t>
  </si>
  <si>
    <t>PAN</t>
  </si>
  <si>
    <t>ANISH SAM (EEE)</t>
  </si>
  <si>
    <t>ANSON (ECE)</t>
  </si>
  <si>
    <t>DEEPU (ECE)</t>
  </si>
  <si>
    <t>EBEN (EEE)</t>
  </si>
  <si>
    <t>ELDHO (EEE)</t>
  </si>
  <si>
    <t>UZB</t>
  </si>
  <si>
    <t>GEORGE J (ME)</t>
  </si>
  <si>
    <t>GEORGE T (ECE)</t>
  </si>
  <si>
    <t>JACOB J (CSE)</t>
  </si>
  <si>
    <t>JEFFIN (EEE)</t>
  </si>
  <si>
    <t>JINU M (ECE)</t>
  </si>
  <si>
    <t>JOBY (ECE)</t>
  </si>
  <si>
    <t>JOYAL (EEE)</t>
  </si>
  <si>
    <t>NIDHIN (ECE)</t>
  </si>
  <si>
    <t>PRASEETH (ECE)</t>
  </si>
  <si>
    <t>PRASHANTH (EEE)</t>
  </si>
  <si>
    <t>RAKESH (ECE)</t>
  </si>
  <si>
    <t>SA</t>
  </si>
  <si>
    <t>RATHISH (ME)</t>
  </si>
  <si>
    <t>RESHMA (CSE)</t>
  </si>
  <si>
    <t>SAJI (ECE)</t>
  </si>
  <si>
    <t>SHIJO (ECE)</t>
  </si>
  <si>
    <t>SURAJ (CSE)</t>
  </si>
  <si>
    <t>TIBIN (EEE)</t>
  </si>
  <si>
    <t>VARSHA (ECE)</t>
  </si>
  <si>
    <t>VINEESH (ECE)</t>
  </si>
  <si>
    <t>VINU (EEE)</t>
  </si>
  <si>
    <t>DRA</t>
  </si>
  <si>
    <t>RULES:</t>
  </si>
  <si>
    <t>1.If your prediction is correct you will score +2 goals for league matches and +3 goals for ROUND OF 32, ROUND OF 16  &amp; QUARTER FINAL matches.</t>
  </si>
  <si>
    <t xml:space="preserve">2. Edited answers are invalid,IF there are 2 or more replies first submission will be taken. </t>
  </si>
  <si>
    <t>3. Those who predict after the time will be disqualified for that match.</t>
  </si>
  <si>
    <t>4.There will be 5 bumper questions, which will score +20 goals for the correct answer &amp; and -5 goals for the wrong answer. Bumper question's answers should be reached in the group before the cut of time mentioned. All answers should be there in the bumper questions; if u answer only 4,3,2 or 1, your answer will be disqualified.</t>
  </si>
  <si>
    <t>5.In group stage, if the RESULT is draw, those who attempted will get +1 goal.</t>
  </si>
  <si>
    <t>6.If a match is abandoned, those who attempted with 1 answer will get +1 goal each.</t>
  </si>
  <si>
    <t>7. There will not be any separate questions for SEMI FINALS &amp; FINAL.</t>
  </si>
  <si>
    <t>Bumper questions:</t>
  </si>
  <si>
    <t>1. who will win this World CUP?</t>
  </si>
  <si>
    <t xml:space="preserve"> </t>
  </si>
  <si>
    <t>2. who will be the Runners-up?</t>
  </si>
  <si>
    <t>3. Who will finish third ?</t>
  </si>
  <si>
    <t>4. who will get the Golden Glove ? ( The Golden Glove award goes to the top goalkeeper of the tournament based on the player's performance throughout the final competition.)</t>
  </si>
  <si>
    <t>5. who will get the Golden Boot ? (The Golden Boot goes to the top goalscorer of the FIFA World Cup. In cases of a tie, it goes to the player who has contributed the most number of assists.)</t>
  </si>
  <si>
    <t>Match No.</t>
  </si>
  <si>
    <t>Date</t>
  </si>
  <si>
    <t>Day</t>
  </si>
  <si>
    <t>Time (IST)</t>
  </si>
  <si>
    <t>Fixture</t>
  </si>
  <si>
    <t>Venue</t>
  </si>
  <si>
    <t>winners</t>
  </si>
  <si>
    <t>Friday</t>
  </si>
  <si>
    <t>Mexico vs South Africa</t>
  </si>
  <si>
    <t>Mexico City</t>
  </si>
  <si>
    <t>Mexico</t>
  </si>
  <si>
    <t>South Korea vs Czechia</t>
  </si>
  <si>
    <t>Zapopan</t>
  </si>
  <si>
    <t>South Korea</t>
  </si>
  <si>
    <t>Saturday</t>
  </si>
  <si>
    <t>Canada vs Bosnia and Herzegovina</t>
  </si>
  <si>
    <t>Toronto</t>
  </si>
  <si>
    <t>DRAW</t>
  </si>
  <si>
    <t>USA vs Paraguay</t>
  </si>
  <si>
    <t>Los Angeles</t>
  </si>
  <si>
    <t>USA</t>
  </si>
  <si>
    <t>Sunday</t>
  </si>
  <si>
    <t>Qatar vs Switzerland</t>
  </si>
  <si>
    <t>Santa Clara</t>
  </si>
  <si>
    <t>Brazil vs Morocco</t>
  </si>
  <si>
    <t>New Jersey</t>
  </si>
  <si>
    <t>Haiti vs Scotland</t>
  </si>
  <si>
    <t>Foxborough</t>
  </si>
  <si>
    <t>Scotland</t>
  </si>
  <si>
    <t>Australia vs Turkey</t>
  </si>
  <si>
    <t>Vancouver</t>
  </si>
  <si>
    <t>Australia</t>
  </si>
  <si>
    <t>Germany vs Curaçao</t>
  </si>
  <si>
    <t>Houston</t>
  </si>
  <si>
    <t>Germany</t>
  </si>
  <si>
    <t>Monday</t>
  </si>
  <si>
    <t>Netherlands vs Japan</t>
  </si>
  <si>
    <t>Arlington</t>
  </si>
  <si>
    <t>Ivory Coast vs Ecuador</t>
  </si>
  <si>
    <t>Philadelphia</t>
  </si>
  <si>
    <t>Ivory Coast</t>
  </si>
  <si>
    <t>Sweden vs Tunisia</t>
  </si>
  <si>
    <t>Guadalajara</t>
  </si>
  <si>
    <t>Sweden</t>
  </si>
  <si>
    <t>Spain vs Cape Verde</t>
  </si>
  <si>
    <t>Atlanta</t>
  </si>
  <si>
    <t>Tuesday</t>
  </si>
  <si>
    <t>Belgium vs Egypt</t>
  </si>
  <si>
    <t>Seattle</t>
  </si>
  <si>
    <t>Saudi Arabia vs Uruguay</t>
  </si>
  <si>
    <t>Miami</t>
  </si>
  <si>
    <t>Iran vs New Zealand</t>
  </si>
  <si>
    <t>Wednesday</t>
  </si>
  <si>
    <t>France vs Senegal</t>
  </si>
  <si>
    <t>France</t>
  </si>
  <si>
    <t>Iraq vs Norway</t>
  </si>
  <si>
    <t>Norway</t>
  </si>
  <si>
    <t>Argentina vs Algeria</t>
  </si>
  <si>
    <t>Kansas City</t>
  </si>
  <si>
    <t>Arengitina</t>
  </si>
  <si>
    <t>Austria vs Jordan</t>
  </si>
  <si>
    <t>Austria</t>
  </si>
  <si>
    <t>Portugal vs DR Congo</t>
  </si>
  <si>
    <t>Thursday</t>
  </si>
  <si>
    <t>England vs Croatia</t>
  </si>
  <si>
    <t>Ghana vs Panama</t>
  </si>
  <si>
    <t>Uzbekistan vs Colombia</t>
  </si>
  <si>
    <t>Czechia vs South Africa</t>
  </si>
  <si>
    <t>Switzerland vs Bosnia and Herzegovina</t>
  </si>
  <si>
    <t>Canada vs Qatar</t>
  </si>
  <si>
    <t>Mexico vs South Korea</t>
  </si>
  <si>
    <t>USA vs Australia</t>
  </si>
  <si>
    <t>Scotland vs Morocco</t>
  </si>
  <si>
    <t>Brazil vs Haiti</t>
  </si>
  <si>
    <t>Turkey vs Paraguay</t>
  </si>
  <si>
    <t>Netherlands vs Sweden</t>
  </si>
  <si>
    <t>Germany vs Ivory Coast</t>
  </si>
  <si>
    <t>Ecuador vs Curaçao</t>
  </si>
  <si>
    <t>Tunisia vs Japan</t>
  </si>
  <si>
    <t>Spain vs Saudi Arabia</t>
  </si>
  <si>
    <t>Belgium vs Iran</t>
  </si>
  <si>
    <t>Uruguay vs Cape Verde</t>
  </si>
  <si>
    <t>New Zealand vs Egypt</t>
  </si>
  <si>
    <t>Argentina vs Austria</t>
  </si>
  <si>
    <t>France vs Iraq</t>
  </si>
  <si>
    <t>Norway vs Senegal</t>
  </si>
  <si>
    <t>Jordan vs Algeria</t>
  </si>
  <si>
    <t>Portugal vs Uzbekistan</t>
  </si>
  <si>
    <t>England vs Ghana</t>
  </si>
  <si>
    <t>Panama vs Croatia</t>
  </si>
  <si>
    <t>Colombia vs DR Congo</t>
  </si>
  <si>
    <t>Switzerland vs Canada</t>
  </si>
  <si>
    <t>Bosnia and Herzegovina vs Qatar</t>
  </si>
  <si>
    <t>Morocco vs Haiti</t>
  </si>
  <si>
    <t>Scotland vs Brazil</t>
  </si>
  <si>
    <t>South Africa vs South Korea</t>
  </si>
  <si>
    <t>Czechia vs Mexico</t>
  </si>
  <si>
    <t>Curaçao vs Ivory Coast</t>
  </si>
  <si>
    <t>Ecuador vs Germany</t>
  </si>
  <si>
    <t>Tunisia vs Netherlands</t>
  </si>
  <si>
    <t>Japan vs Sweden</t>
  </si>
  <si>
    <t>Turkey vs USA</t>
  </si>
  <si>
    <t>Paraguay vs Australia</t>
  </si>
  <si>
    <t>Norway vs France</t>
  </si>
  <si>
    <t>Senegal vs Iraq</t>
  </si>
  <si>
    <t>Cape Verde vs Saudi Arabia</t>
  </si>
  <si>
    <t>Uruguay vs Spain</t>
  </si>
  <si>
    <t>New Zealand vs Belgium</t>
  </si>
  <si>
    <t>Egypt vs Iran</t>
  </si>
  <si>
    <t>Panama vs England</t>
  </si>
  <si>
    <t>Croatia vs Ghana</t>
  </si>
  <si>
    <t>Colombia vs Portugal</t>
  </si>
  <si>
    <t>DR Congo vs Uzbekistan</t>
  </si>
  <si>
    <t>Algeria vs Austria</t>
  </si>
  <si>
    <t>Jordan vs Argentina</t>
  </si>
  <si>
    <t>Round of 32: Group A Runners-up vs Group B Runners-up</t>
  </si>
  <si>
    <t>Round of 32: Group C Winners vs Group F Runners-up</t>
  </si>
  <si>
    <t>Round of 32: Group E Winners vs Best Third-Placed Team</t>
  </si>
  <si>
    <t>Round of 32: Group F Winners vs Group C Runners-up</t>
  </si>
  <si>
    <t>Round of 32: Group E Runners-up vs Group I Runners-up</t>
  </si>
  <si>
    <t>Round of 32: Group I Winners vs Best Third-Placed Team</t>
  </si>
  <si>
    <t>Round of 32: Group A Winners vs Best Third-Placed Team</t>
  </si>
  <si>
    <t>Round of 32: Group L Winners vs Best Third-Placed Team</t>
  </si>
  <si>
    <t>Round of 32: Group G Winners vs Best Third-Placed Team</t>
  </si>
  <si>
    <t>Round of 32: Group D Winners vs Best Third-Placed Team</t>
  </si>
  <si>
    <t>Round of 32: Group H Winners vs Group J Runners-up</t>
  </si>
  <si>
    <t>Round of 32: Group K Runners-up vs Group L Runners-up</t>
  </si>
  <si>
    <t>Round of 32: Group B Winners vs Best Third-Placed Team</t>
  </si>
  <si>
    <t>Round of 32: Group D Runners-up vs Group G Runners-up</t>
  </si>
  <si>
    <t>Round of 32: Group J Winners vs Group H Runners-up</t>
  </si>
  <si>
    <t>Round of 32: Group K Winners vs Best Third-Placed Team</t>
  </si>
  <si>
    <t>Round of 16: Winner Match 73 vs Winner Match 75</t>
  </si>
  <si>
    <t>Round of 16: Winner Match 74 vs Winner Match 77</t>
  </si>
  <si>
    <t>Round of 16: Winner Match 76 vs Winner Match 78</t>
  </si>
  <si>
    <t>Round of 16: Winner Match 79 vs Winner Match 80</t>
  </si>
  <si>
    <t>Round of 16: Winner Match 83 vs Winner Match 84</t>
  </si>
  <si>
    <t>Round of 16: Winner Match 81 vs Winner Match 82</t>
  </si>
  <si>
    <t>Round of 16: Winner Match 86 vs Winner Match 88</t>
  </si>
  <si>
    <t>Round of 16: Winner Match 85 vs Winner Match 87</t>
  </si>
  <si>
    <t>Quarter-final: Winner Match 89 vs Winner Match 90</t>
  </si>
  <si>
    <t>Quarter-final: Winner Match 93 vs Winner Match 94</t>
  </si>
  <si>
    <t>Quarter-final: Winner Match 91 vs Winner Match 92</t>
  </si>
  <si>
    <t>Quarter-final: Winner Match 95 vs Winner Match 96</t>
  </si>
  <si>
    <t>Semi-final 1: Winner Match 97 vs Winner Match 98</t>
  </si>
  <si>
    <t>Semi-final 2: Winner Match 99 vs Winner Match 100</t>
  </si>
  <si>
    <t>Third-Place Match: Loser Match 101 vs Loser Match 102</t>
  </si>
  <si>
    <t>Final: Winner Match 101 vs Winner Match 102</t>
  </si>
  <si>
    <t>*AFTER 2⃣0⃣ MATCHES*</t>
  </si>
  <si>
    <t>PARTICIPANTS</t>
  </si>
  <si>
    <t>*30*</t>
  </si>
  <si>
    <t>*RANK*</t>
  </si>
  <si>
    <t>*NAME*</t>
  </si>
  <si>
    <t>*TOTAL GOALS*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</si>
</sst>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, yyyy"/>
    <numFmt numFmtId="165" formatCode="h:mm am/pm"/>
  </numFmts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Roboto"/>
    </font>
    <font>
      <sz val="11.0"/>
      <color rgb="FF333333"/>
      <name val="&quot;Helvetica Neue&quot;"/>
    </font>
    <font>
      <color theme="1"/>
      <name val="Arial"/>
      <scheme val="minor"/>
    </font>
    <font>
      <b/>
      <i/>
      <color rgb="FF1155CC"/>
      <name val="Arial"/>
    </font>
    <font>
      <strike/>
      <color theme="1"/>
      <name val="Arial"/>
      <scheme val="minor"/>
    </font>
    <font>
      <sz val="10.0"/>
      <color rgb="FF6A6C6C"/>
      <name val="Arial"/>
    </font>
    <font>
      <sz val="10.0"/>
      <color theme="1"/>
      <name val="Arial"/>
    </font>
    <font>
      <sz val="10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1" numFmtId="0" xfId="0" applyAlignment="1" applyFont="1">
      <alignment horizontal="center" vertical="bottom"/>
    </xf>
    <xf borderId="0" fillId="2" fontId="3" numFmtId="0" xfId="0" applyAlignment="1" applyFont="1">
      <alignment horizontal="center" vertical="bottom"/>
    </xf>
    <xf borderId="0" fillId="2" fontId="1" numFmtId="0" xfId="0" applyAlignment="1" applyFont="1">
      <alignment horizontal="center" readingOrder="0" vertical="bottom"/>
    </xf>
    <xf borderId="0" fillId="2" fontId="3" numFmtId="0" xfId="0" applyAlignment="1" applyFont="1">
      <alignment vertical="bottom"/>
    </xf>
    <xf borderId="0" fillId="2" fontId="4" numFmtId="0" xfId="0" applyAlignment="1" applyFont="1">
      <alignment vertical="bottom"/>
    </xf>
    <xf borderId="0" fillId="2" fontId="3" numFmtId="0" xfId="0" applyAlignment="1" applyFont="1">
      <alignment shrinkToFit="0" vertical="bottom" wrapText="0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vertical="bottom"/>
    </xf>
    <xf borderId="0" fillId="2" fontId="6" numFmtId="0" xfId="0" applyAlignment="1" applyFont="1">
      <alignment horizontal="center" vertical="bottom"/>
    </xf>
    <xf borderId="0" fillId="2" fontId="6" numFmtId="0" xfId="0" applyAlignment="1" applyFont="1">
      <alignment horizontal="center" readingOrder="0" vertical="bottom"/>
    </xf>
    <xf borderId="1" fillId="0" fontId="5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/>
    </xf>
    <xf borderId="1" fillId="2" fontId="2" numFmtId="0" xfId="0" applyAlignment="1" applyBorder="1" applyFont="1">
      <alignment horizontal="center" readingOrder="0" vertical="bottom"/>
    </xf>
    <xf borderId="1" fillId="2" fontId="2" numFmtId="0" xfId="0" applyAlignment="1" applyBorder="1" applyFont="1">
      <alignment horizontal="center" vertical="bottom"/>
    </xf>
    <xf borderId="2" fillId="2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readingOrder="0"/>
    </xf>
    <xf borderId="1" fillId="2" fontId="2" numFmtId="0" xfId="0" applyAlignment="1" applyBorder="1" applyFont="1">
      <alignment readingOrder="0" vertical="bottom"/>
    </xf>
    <xf borderId="3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readingOrder="0" vertical="bottom"/>
    </xf>
    <xf borderId="1" fillId="0" fontId="2" numFmtId="0" xfId="0" applyAlignment="1" applyBorder="1" applyFont="1">
      <alignment vertical="bottom"/>
    </xf>
    <xf borderId="2" fillId="2" fontId="2" numFmtId="0" xfId="0" applyAlignment="1" applyBorder="1" applyFont="1">
      <alignment horizontal="center" vertical="bottom"/>
    </xf>
    <xf borderId="2" fillId="0" fontId="2" numFmtId="0" xfId="0" applyAlignment="1" applyBorder="1" applyFont="1">
      <alignment vertical="bottom"/>
    </xf>
    <xf borderId="1" fillId="0" fontId="5" numFmtId="0" xfId="0" applyBorder="1" applyFont="1"/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horizontal="right" readingOrder="0"/>
    </xf>
    <xf borderId="1" fillId="0" fontId="2" numFmtId="0" xfId="0" applyAlignment="1" applyBorder="1" applyFont="1">
      <alignment readingOrder="0"/>
    </xf>
    <xf borderId="2" fillId="2" fontId="2" numFmtId="0" xfId="0" applyAlignment="1" applyBorder="1" applyFont="1">
      <alignment horizontal="center" readingOrder="0" vertical="bottom"/>
    </xf>
    <xf borderId="2" fillId="0" fontId="2" numFmtId="0" xfId="0" applyAlignment="1" applyBorder="1" applyFont="1">
      <alignment vertical="bottom"/>
    </xf>
    <xf borderId="1" fillId="0" fontId="5" numFmtId="0" xfId="0" applyAlignment="1" applyBorder="1" applyFont="1">
      <alignment horizontal="center"/>
    </xf>
    <xf borderId="1" fillId="0" fontId="2" numFmtId="0" xfId="0" applyAlignment="1" applyBorder="1" applyFon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1" fillId="2" fontId="2" numFmtId="0" xfId="0" applyAlignment="1" applyBorder="1" applyFont="1">
      <alignment horizontal="center" vertical="bottom"/>
    </xf>
    <xf borderId="3" fillId="0" fontId="5" numFmtId="0" xfId="0" applyAlignment="1" applyBorder="1" applyFont="1">
      <alignment readingOrder="0"/>
    </xf>
    <xf borderId="2" fillId="0" fontId="5" numFmtId="0" xfId="0" applyBorder="1" applyFont="1"/>
    <xf borderId="3" fillId="0" fontId="5" numFmtId="0" xfId="0" applyBorder="1" applyFont="1"/>
    <xf borderId="1" fillId="0" fontId="2" numFmtId="0" xfId="0" applyAlignment="1" applyBorder="1" applyFont="1">
      <alignment readingOrder="0" vertical="bottom"/>
    </xf>
    <xf borderId="1" fillId="0" fontId="5" numFmtId="0" xfId="0" applyBorder="1" applyFont="1"/>
    <xf borderId="2" fillId="0" fontId="5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 vertical="bottom"/>
    </xf>
    <xf borderId="2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5" numFmtId="0" xfId="0" applyAlignment="1" applyFont="1">
      <alignment readingOrder="0"/>
    </xf>
    <xf borderId="1" fillId="0" fontId="7" numFmtId="0" xfId="0" applyBorder="1" applyFont="1"/>
    <xf borderId="2" fillId="2" fontId="2" numFmtId="0" xfId="0" applyAlignment="1" applyBorder="1" applyFont="1">
      <alignment vertical="bottom"/>
    </xf>
    <xf borderId="4" fillId="0" fontId="5" numFmtId="0" xfId="0" applyAlignment="1" applyBorder="1" applyFont="1">
      <alignment readingOrder="0"/>
    </xf>
    <xf borderId="4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5" numFmtId="0" xfId="0" applyBorder="1" applyFont="1"/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6" fillId="0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readingOrder="0"/>
    </xf>
    <xf borderId="5" fillId="2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readingOrder="0"/>
    </xf>
    <xf borderId="5" fillId="0" fontId="5" numFmtId="0" xfId="0" applyBorder="1" applyFont="1"/>
    <xf borderId="5" fillId="0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vertical="bottom"/>
    </xf>
    <xf borderId="5" fillId="2" fontId="2" numFmtId="0" xfId="0" applyAlignment="1" applyBorder="1" applyFont="1">
      <alignment readingOrder="0" vertical="bottom"/>
    </xf>
    <xf borderId="5" fillId="0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2" fontId="2" numFmtId="0" xfId="0" applyAlignment="1" applyBorder="1" applyFont="1">
      <alignment horizontal="center" readingOrder="0" vertical="bottom"/>
    </xf>
    <xf borderId="0" fillId="2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top"/>
    </xf>
    <xf borderId="0" fillId="0" fontId="8" numFmtId="0" xfId="0" applyAlignment="1" applyFont="1">
      <alignment horizontal="left" readingOrder="0" vertical="top"/>
    </xf>
    <xf borderId="0" fillId="0" fontId="9" numFmtId="0" xfId="0" applyAlignment="1" applyFont="1">
      <alignment readingOrder="0"/>
    </xf>
    <xf borderId="0" fillId="0" fontId="9" numFmtId="0" xfId="0" applyFont="1"/>
    <xf borderId="0" fillId="0" fontId="8" numFmtId="164" xfId="0" applyAlignment="1" applyFont="1" applyNumberFormat="1">
      <alignment horizontal="center" readingOrder="0" vertical="top"/>
    </xf>
    <xf borderId="0" fillId="0" fontId="8" numFmtId="165" xfId="0" applyAlignment="1" applyFont="1" applyNumberFormat="1">
      <alignment horizontal="center" readingOrder="0" vertical="top"/>
    </xf>
    <xf borderId="0" fillId="2" fontId="10" numFmtId="0" xfId="0" applyAlignment="1" applyFont="1">
      <alignment horizontal="left" readingOrder="0"/>
    </xf>
    <xf borderId="0" fillId="2" fontId="10" numFmtId="164" xfId="0" applyAlignment="1" applyFont="1" applyNumberFormat="1">
      <alignment horizontal="left" readingOrder="0"/>
    </xf>
    <xf borderId="0" fillId="2" fontId="10" numFmtId="165" xfId="0" applyAlignment="1" applyFont="1" applyNumberFormat="1">
      <alignment horizontal="left" readingOrder="0"/>
    </xf>
    <xf borderId="0" fillId="3" fontId="10" numFmtId="0" xfId="0" applyAlignment="1" applyFill="1" applyFont="1">
      <alignment horizontal="left" readingOrder="0"/>
    </xf>
    <xf borderId="0" fillId="3" fontId="10" numFmtId="164" xfId="0" applyAlignment="1" applyFont="1" applyNumberFormat="1">
      <alignment horizontal="left" readingOrder="0"/>
    </xf>
    <xf borderId="0" fillId="3" fontId="10" numFmtId="165" xfId="0" applyAlignment="1" applyFont="1" applyNumberFormat="1">
      <alignment horizontal="left" readingOrder="0"/>
    </xf>
    <xf borderId="0" fillId="0" fontId="9" numFmtId="164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1" fillId="0" fontId="5" numFmtId="0" xfId="0" applyAlignment="1" applyBorder="1" applyFont="1">
      <alignment horizontal="left"/>
    </xf>
    <xf borderId="1" fillId="2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right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2.0"/>
    <col customWidth="1" min="2" max="2" width="8.75"/>
    <col customWidth="1" min="3" max="21" width="2.25"/>
    <col customWidth="1" min="22" max="22" width="3.13"/>
    <col customWidth="1" min="23" max="27" width="5.75"/>
    <col customWidth="1" min="28" max="62" width="3.25"/>
    <col customWidth="1" min="63" max="63" width="4.5"/>
  </cols>
  <sheetData>
    <row r="1">
      <c r="A1" s="1" t="s">
        <v>0</v>
      </c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3"/>
      <c r="S1" s="3"/>
      <c r="T1" s="5"/>
      <c r="U1" s="3"/>
      <c r="V1" s="6"/>
      <c r="W1" s="6"/>
      <c r="X1" s="6"/>
      <c r="Y1" s="6"/>
      <c r="Z1" s="6"/>
      <c r="AA1" s="3"/>
      <c r="AB1" s="6"/>
      <c r="AC1" s="6"/>
      <c r="AD1" s="6"/>
      <c r="AE1" s="6"/>
      <c r="AF1" s="6"/>
      <c r="AG1" s="7"/>
      <c r="AH1" s="6"/>
      <c r="AI1" s="3"/>
      <c r="AJ1" s="6"/>
      <c r="AK1" s="6"/>
      <c r="AL1" s="6"/>
      <c r="AM1" s="6"/>
      <c r="AN1" s="6"/>
      <c r="AO1" s="6"/>
      <c r="AP1" s="6"/>
      <c r="AQ1" s="6"/>
      <c r="AR1" s="8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</row>
    <row r="2">
      <c r="A2" s="10" t="s">
        <v>1</v>
      </c>
      <c r="B2" s="11">
        <f t="shared" ref="B2:BJ2" si="1">COUNTA(B4:B112)</f>
        <v>30</v>
      </c>
      <c r="C2" s="11">
        <f t="shared" si="1"/>
        <v>19</v>
      </c>
      <c r="D2" s="11">
        <f t="shared" si="1"/>
        <v>21</v>
      </c>
      <c r="E2" s="11">
        <f t="shared" si="1"/>
        <v>28</v>
      </c>
      <c r="F2" s="11">
        <f t="shared" si="1"/>
        <v>28</v>
      </c>
      <c r="G2" s="11">
        <f t="shared" si="1"/>
        <v>26</v>
      </c>
      <c r="H2" s="11">
        <f t="shared" si="1"/>
        <v>27</v>
      </c>
      <c r="I2" s="11">
        <f t="shared" si="1"/>
        <v>27</v>
      </c>
      <c r="J2" s="11">
        <f t="shared" si="1"/>
        <v>27</v>
      </c>
      <c r="K2" s="11">
        <f t="shared" si="1"/>
        <v>29</v>
      </c>
      <c r="L2" s="11">
        <f t="shared" si="1"/>
        <v>28</v>
      </c>
      <c r="M2" s="11">
        <f t="shared" si="1"/>
        <v>27</v>
      </c>
      <c r="N2" s="11">
        <f t="shared" si="1"/>
        <v>28</v>
      </c>
      <c r="O2" s="11">
        <f t="shared" si="1"/>
        <v>29</v>
      </c>
      <c r="P2" s="11">
        <f t="shared" si="1"/>
        <v>30</v>
      </c>
      <c r="Q2" s="11">
        <f t="shared" si="1"/>
        <v>30</v>
      </c>
      <c r="R2" s="11">
        <f t="shared" si="1"/>
        <v>30</v>
      </c>
      <c r="S2" s="11">
        <f t="shared" si="1"/>
        <v>27</v>
      </c>
      <c r="T2" s="11">
        <f t="shared" si="1"/>
        <v>27</v>
      </c>
      <c r="U2" s="11">
        <f t="shared" si="1"/>
        <v>27</v>
      </c>
      <c r="V2" s="11">
        <f t="shared" si="1"/>
        <v>27</v>
      </c>
      <c r="W2" s="11">
        <f t="shared" si="1"/>
        <v>28</v>
      </c>
      <c r="X2" s="11">
        <f t="shared" si="1"/>
        <v>24</v>
      </c>
      <c r="Y2" s="11">
        <f t="shared" si="1"/>
        <v>24</v>
      </c>
      <c r="Z2" s="11">
        <f t="shared" si="1"/>
        <v>24</v>
      </c>
      <c r="AA2" s="11">
        <f t="shared" si="1"/>
        <v>24</v>
      </c>
      <c r="AB2" s="11">
        <f t="shared" si="1"/>
        <v>0</v>
      </c>
      <c r="AC2" s="11">
        <f t="shared" si="1"/>
        <v>0</v>
      </c>
      <c r="AD2" s="11">
        <f t="shared" si="1"/>
        <v>0</v>
      </c>
      <c r="AE2" s="11">
        <f t="shared" si="1"/>
        <v>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0</v>
      </c>
      <c r="AM2" s="11">
        <f t="shared" si="1"/>
        <v>0</v>
      </c>
      <c r="AN2" s="11">
        <f t="shared" si="1"/>
        <v>0</v>
      </c>
      <c r="AO2" s="11">
        <f t="shared" si="1"/>
        <v>0</v>
      </c>
      <c r="AP2" s="11">
        <f t="shared" si="1"/>
        <v>0</v>
      </c>
      <c r="AQ2" s="11">
        <f t="shared" si="1"/>
        <v>0</v>
      </c>
      <c r="AR2" s="11">
        <f t="shared" si="1"/>
        <v>0</v>
      </c>
      <c r="AS2" s="11">
        <f t="shared" si="1"/>
        <v>0</v>
      </c>
      <c r="AT2" s="11">
        <f t="shared" si="1"/>
        <v>0</v>
      </c>
      <c r="AU2" s="11">
        <f t="shared" si="1"/>
        <v>0</v>
      </c>
      <c r="AV2" s="11">
        <f t="shared" si="1"/>
        <v>0</v>
      </c>
      <c r="AW2" s="11">
        <f t="shared" si="1"/>
        <v>0</v>
      </c>
      <c r="AX2" s="11">
        <f t="shared" si="1"/>
        <v>0</v>
      </c>
      <c r="AY2" s="11">
        <f t="shared" si="1"/>
        <v>0</v>
      </c>
      <c r="AZ2" s="11">
        <f t="shared" si="1"/>
        <v>0</v>
      </c>
      <c r="BA2" s="11">
        <f t="shared" si="1"/>
        <v>0</v>
      </c>
      <c r="BB2" s="11">
        <f t="shared" si="1"/>
        <v>0</v>
      </c>
      <c r="BC2" s="11">
        <f t="shared" si="1"/>
        <v>0</v>
      </c>
      <c r="BD2" s="11">
        <f t="shared" si="1"/>
        <v>0</v>
      </c>
      <c r="BE2" s="11">
        <f t="shared" si="1"/>
        <v>0</v>
      </c>
      <c r="BF2" s="11">
        <f t="shared" si="1"/>
        <v>0</v>
      </c>
      <c r="BG2" s="11">
        <f t="shared" si="1"/>
        <v>0</v>
      </c>
      <c r="BH2" s="11">
        <f t="shared" si="1"/>
        <v>0</v>
      </c>
      <c r="BI2" s="11">
        <f t="shared" si="1"/>
        <v>0</v>
      </c>
      <c r="BJ2" s="11">
        <f t="shared" si="1"/>
        <v>0</v>
      </c>
      <c r="BK2" s="11"/>
    </row>
    <row r="3">
      <c r="A3" s="12" t="s">
        <v>2</v>
      </c>
      <c r="B3" s="5" t="s">
        <v>3</v>
      </c>
      <c r="C3" s="13">
        <v>1.0</v>
      </c>
      <c r="D3" s="13">
        <v>2.0</v>
      </c>
      <c r="E3" s="13">
        <v>3.0</v>
      </c>
      <c r="F3" s="13">
        <v>4.0</v>
      </c>
      <c r="G3" s="13">
        <v>5.0</v>
      </c>
      <c r="H3" s="13">
        <v>6.0</v>
      </c>
      <c r="I3" s="13">
        <v>7.0</v>
      </c>
      <c r="J3" s="13">
        <v>8.0</v>
      </c>
      <c r="K3" s="13">
        <v>9.0</v>
      </c>
      <c r="L3" s="13">
        <v>10.0</v>
      </c>
      <c r="M3" s="13">
        <v>11.0</v>
      </c>
      <c r="N3" s="13">
        <v>12.0</v>
      </c>
      <c r="O3" s="13">
        <v>13.0</v>
      </c>
      <c r="P3" s="13">
        <v>14.0</v>
      </c>
      <c r="Q3" s="13">
        <v>15.0</v>
      </c>
      <c r="R3" s="13">
        <v>16.0</v>
      </c>
      <c r="S3" s="13">
        <v>17.0</v>
      </c>
      <c r="T3" s="13">
        <v>18.0</v>
      </c>
      <c r="U3" s="13">
        <v>19.0</v>
      </c>
      <c r="V3" s="13">
        <v>20.0</v>
      </c>
      <c r="W3" s="13">
        <v>21.0</v>
      </c>
      <c r="X3" s="13">
        <v>22.0</v>
      </c>
      <c r="Y3" s="13">
        <v>23.0</v>
      </c>
      <c r="Z3" s="13">
        <v>24.0</v>
      </c>
      <c r="AA3" s="13">
        <v>25.0</v>
      </c>
      <c r="AB3" s="13">
        <v>26.0</v>
      </c>
      <c r="AC3" s="13">
        <v>27.0</v>
      </c>
      <c r="AD3" s="13">
        <v>28.0</v>
      </c>
      <c r="AE3" s="13">
        <v>29.0</v>
      </c>
      <c r="AF3" s="13">
        <v>30.0</v>
      </c>
      <c r="AG3" s="13">
        <v>31.0</v>
      </c>
      <c r="AH3" s="13">
        <v>32.0</v>
      </c>
      <c r="AI3" s="13">
        <v>33.0</v>
      </c>
      <c r="AJ3" s="13">
        <v>34.0</v>
      </c>
      <c r="AK3" s="14">
        <v>35.0</v>
      </c>
      <c r="AL3" s="14">
        <v>36.0</v>
      </c>
      <c r="AM3" s="13">
        <v>37.0</v>
      </c>
      <c r="AN3" s="13">
        <v>38.0</v>
      </c>
      <c r="AO3" s="13">
        <v>39.0</v>
      </c>
      <c r="AP3" s="14">
        <v>40.0</v>
      </c>
      <c r="AQ3" s="13">
        <v>41.0</v>
      </c>
      <c r="AR3" s="13">
        <v>42.0</v>
      </c>
      <c r="AS3" s="13">
        <v>43.0</v>
      </c>
      <c r="AT3" s="13">
        <v>44.0</v>
      </c>
      <c r="AU3" s="13">
        <v>45.0</v>
      </c>
      <c r="AV3" s="13">
        <v>46.0</v>
      </c>
      <c r="AW3" s="13">
        <v>47.0</v>
      </c>
      <c r="AX3" s="13">
        <v>48.0</v>
      </c>
      <c r="AY3" s="14">
        <v>49.0</v>
      </c>
      <c r="AZ3" s="14">
        <v>50.0</v>
      </c>
      <c r="BA3" s="13">
        <v>51.0</v>
      </c>
      <c r="BB3" s="13">
        <v>52.0</v>
      </c>
      <c r="BC3" s="13">
        <v>53.0</v>
      </c>
      <c r="BD3" s="13">
        <v>54.0</v>
      </c>
      <c r="BE3" s="13">
        <v>55.0</v>
      </c>
      <c r="BF3" s="13">
        <v>56.0</v>
      </c>
      <c r="BG3" s="13">
        <v>57.0</v>
      </c>
      <c r="BH3" s="13">
        <v>58.0</v>
      </c>
      <c r="BI3" s="13">
        <v>59.0</v>
      </c>
      <c r="BJ3" s="14">
        <v>60.0</v>
      </c>
      <c r="BK3" s="14">
        <v>61.0</v>
      </c>
    </row>
    <row r="4">
      <c r="A4" s="15" t="s">
        <v>4</v>
      </c>
      <c r="B4" s="16">
        <f t="shared" ref="B4:B33" si="2">sum(C4:BJ4)</f>
        <v>23</v>
      </c>
      <c r="C4" s="16">
        <v>-1.0</v>
      </c>
      <c r="D4" s="15">
        <v>2.0</v>
      </c>
      <c r="E4" s="17">
        <v>1.0</v>
      </c>
      <c r="F4" s="16">
        <v>2.0</v>
      </c>
      <c r="G4" s="16">
        <v>1.0</v>
      </c>
      <c r="H4" s="16">
        <v>1.0</v>
      </c>
      <c r="I4" s="16">
        <v>2.0</v>
      </c>
      <c r="J4" s="16">
        <v>2.0</v>
      </c>
      <c r="K4" s="17">
        <v>2.0</v>
      </c>
      <c r="L4" s="18">
        <v>1.0</v>
      </c>
      <c r="M4" s="19">
        <v>2.0</v>
      </c>
      <c r="N4" s="16">
        <v>2.0</v>
      </c>
      <c r="O4" s="16">
        <v>1.0</v>
      </c>
      <c r="P4" s="15">
        <v>1.0</v>
      </c>
      <c r="Q4" s="15">
        <v>1.0</v>
      </c>
      <c r="R4" s="15">
        <v>1.0</v>
      </c>
      <c r="S4" s="15">
        <v>-1.0</v>
      </c>
      <c r="T4" s="20">
        <v>2.0</v>
      </c>
      <c r="U4" s="20">
        <v>2.0</v>
      </c>
      <c r="V4" s="15">
        <v>-1.0</v>
      </c>
      <c r="W4" s="20" t="s">
        <v>5</v>
      </c>
      <c r="X4" s="21" t="s">
        <v>6</v>
      </c>
      <c r="Y4" s="22" t="s">
        <v>7</v>
      </c>
      <c r="Z4" s="22" t="s">
        <v>8</v>
      </c>
      <c r="AA4" s="22" t="s">
        <v>9</v>
      </c>
      <c r="AB4" s="19"/>
      <c r="AC4" s="15"/>
      <c r="AD4" s="15"/>
      <c r="AE4" s="15"/>
      <c r="AF4" s="20"/>
      <c r="AG4" s="20"/>
      <c r="AH4" s="15"/>
      <c r="AI4" s="20"/>
      <c r="AJ4" s="20"/>
      <c r="AK4" s="23"/>
      <c r="AL4" s="20"/>
      <c r="AM4" s="18"/>
      <c r="AN4" s="15"/>
      <c r="AO4" s="15"/>
      <c r="AP4" s="15"/>
      <c r="AQ4" s="20"/>
      <c r="AR4" s="20"/>
      <c r="AS4" s="24"/>
      <c r="AT4" s="15"/>
      <c r="AU4" s="15"/>
      <c r="AV4" s="15"/>
      <c r="AW4" s="15"/>
      <c r="AX4" s="15"/>
      <c r="AY4" s="24"/>
      <c r="AZ4" s="24"/>
      <c r="BA4" s="15"/>
      <c r="BB4" s="15"/>
      <c r="BC4" s="15"/>
      <c r="BD4" s="15"/>
      <c r="BE4" s="18"/>
      <c r="BF4" s="25"/>
      <c r="BG4" s="26"/>
      <c r="BH4" s="26"/>
      <c r="BI4" s="26"/>
      <c r="BJ4" s="26"/>
      <c r="BK4" s="27"/>
    </row>
    <row r="5">
      <c r="A5" s="15" t="s">
        <v>10</v>
      </c>
      <c r="B5" s="16">
        <f t="shared" si="2"/>
        <v>24</v>
      </c>
      <c r="C5" s="17"/>
      <c r="D5" s="15">
        <v>2.0</v>
      </c>
      <c r="E5" s="17">
        <v>1.0</v>
      </c>
      <c r="F5" s="17">
        <v>-1.0</v>
      </c>
      <c r="G5" s="16">
        <v>1.0</v>
      </c>
      <c r="H5" s="16">
        <v>1.0</v>
      </c>
      <c r="I5" s="16">
        <v>2.0</v>
      </c>
      <c r="J5" s="16">
        <v>2.0</v>
      </c>
      <c r="K5" s="17">
        <v>2.0</v>
      </c>
      <c r="L5" s="18">
        <v>1.0</v>
      </c>
      <c r="M5" s="16">
        <v>-1.0</v>
      </c>
      <c r="N5" s="16">
        <v>2.0</v>
      </c>
      <c r="O5" s="16">
        <v>1.0</v>
      </c>
      <c r="P5" s="15">
        <v>1.0</v>
      </c>
      <c r="Q5" s="15">
        <v>1.0</v>
      </c>
      <c r="R5" s="15">
        <v>1.0</v>
      </c>
      <c r="S5" s="18">
        <v>2.0</v>
      </c>
      <c r="T5" s="20">
        <v>2.0</v>
      </c>
      <c r="U5" s="20">
        <v>2.0</v>
      </c>
      <c r="V5" s="18">
        <v>2.0</v>
      </c>
      <c r="W5" s="28" t="s">
        <v>5</v>
      </c>
      <c r="X5" s="21" t="s">
        <v>11</v>
      </c>
      <c r="Y5" s="22" t="s">
        <v>7</v>
      </c>
      <c r="Z5" s="22" t="s">
        <v>8</v>
      </c>
      <c r="AA5" s="29" t="s">
        <v>9</v>
      </c>
      <c r="AB5" s="30"/>
      <c r="AC5" s="31"/>
      <c r="AD5" s="31"/>
      <c r="AE5" s="15"/>
      <c r="AF5" s="15"/>
      <c r="AG5" s="20"/>
      <c r="AH5" s="15"/>
      <c r="AI5" s="20"/>
      <c r="AJ5" s="20"/>
      <c r="AK5" s="23"/>
      <c r="AL5" s="20"/>
      <c r="AM5" s="18"/>
      <c r="AN5" s="15"/>
      <c r="AO5" s="15"/>
      <c r="AP5" s="18"/>
      <c r="AQ5" s="20"/>
      <c r="AR5" s="20"/>
      <c r="AS5" s="24"/>
      <c r="AT5" s="15"/>
      <c r="AU5" s="15"/>
      <c r="AV5" s="15"/>
      <c r="AW5" s="15"/>
      <c r="AX5" s="15"/>
      <c r="AY5" s="24"/>
      <c r="AZ5" s="24"/>
      <c r="BA5" s="15"/>
      <c r="BB5" s="15"/>
      <c r="BC5" s="15"/>
      <c r="BD5" s="15"/>
      <c r="BE5" s="18"/>
      <c r="BF5" s="25"/>
      <c r="BG5" s="32"/>
      <c r="BH5" s="26"/>
      <c r="BI5" s="33"/>
      <c r="BJ5" s="26"/>
      <c r="BK5" s="27"/>
    </row>
    <row r="6">
      <c r="A6" s="15" t="s">
        <v>12</v>
      </c>
      <c r="B6" s="16">
        <f t="shared" si="2"/>
        <v>27</v>
      </c>
      <c r="C6" s="17"/>
      <c r="D6" s="15">
        <v>2.0</v>
      </c>
      <c r="E6" s="17">
        <v>1.0</v>
      </c>
      <c r="F6" s="17">
        <v>-1.0</v>
      </c>
      <c r="G6" s="16">
        <v>1.0</v>
      </c>
      <c r="H6" s="16">
        <v>1.0</v>
      </c>
      <c r="I6" s="16">
        <v>2.0</v>
      </c>
      <c r="J6" s="16">
        <v>2.0</v>
      </c>
      <c r="K6" s="17">
        <v>2.0</v>
      </c>
      <c r="L6" s="18">
        <v>1.0</v>
      </c>
      <c r="M6" s="19">
        <v>2.0</v>
      </c>
      <c r="N6" s="16">
        <v>2.0</v>
      </c>
      <c r="O6" s="16">
        <v>1.0</v>
      </c>
      <c r="P6" s="15">
        <v>1.0</v>
      </c>
      <c r="Q6" s="15">
        <v>1.0</v>
      </c>
      <c r="R6" s="15">
        <v>1.0</v>
      </c>
      <c r="S6" s="18">
        <v>2.0</v>
      </c>
      <c r="T6" s="20">
        <v>2.0</v>
      </c>
      <c r="U6" s="20">
        <v>2.0</v>
      </c>
      <c r="V6" s="18">
        <v>2.0</v>
      </c>
      <c r="W6" s="15" t="s">
        <v>5</v>
      </c>
      <c r="X6" s="21" t="s">
        <v>11</v>
      </c>
      <c r="Y6" s="22" t="s">
        <v>7</v>
      </c>
      <c r="Z6" s="22" t="s">
        <v>8</v>
      </c>
      <c r="AA6" s="22" t="s">
        <v>9</v>
      </c>
      <c r="AB6" s="19"/>
      <c r="AC6" s="34"/>
      <c r="AD6" s="15"/>
      <c r="AE6" s="15"/>
      <c r="AF6" s="20"/>
      <c r="AG6" s="20"/>
      <c r="AH6" s="15"/>
      <c r="AI6" s="20"/>
      <c r="AJ6" s="20"/>
      <c r="AK6" s="23"/>
      <c r="AL6" s="20"/>
      <c r="AM6" s="18"/>
      <c r="AN6" s="15"/>
      <c r="AO6" s="15"/>
      <c r="AP6" s="15"/>
      <c r="AQ6" s="20"/>
      <c r="AR6" s="20"/>
      <c r="AS6" s="24"/>
      <c r="AT6" s="15"/>
      <c r="AU6" s="15"/>
      <c r="AV6" s="15"/>
      <c r="AW6" s="15"/>
      <c r="AX6" s="15"/>
      <c r="AY6" s="24"/>
      <c r="AZ6" s="24"/>
      <c r="BA6" s="15"/>
      <c r="BB6" s="15"/>
      <c r="BC6" s="15"/>
      <c r="BD6" s="15"/>
      <c r="BE6" s="18"/>
      <c r="BF6" s="25"/>
      <c r="BG6" s="26"/>
      <c r="BH6" s="26"/>
      <c r="BI6" s="26"/>
      <c r="BJ6" s="26"/>
      <c r="BK6" s="27"/>
    </row>
    <row r="7">
      <c r="A7" s="15" t="s">
        <v>13</v>
      </c>
      <c r="B7" s="16">
        <f t="shared" si="2"/>
        <v>22</v>
      </c>
      <c r="C7" s="16">
        <v>2.0</v>
      </c>
      <c r="D7" s="15">
        <v>2.0</v>
      </c>
      <c r="E7" s="17">
        <v>1.0</v>
      </c>
      <c r="F7" s="16">
        <v>2.0</v>
      </c>
      <c r="G7" s="16"/>
      <c r="H7" s="16">
        <v>1.0</v>
      </c>
      <c r="I7" s="16">
        <v>2.0</v>
      </c>
      <c r="J7" s="16">
        <v>-1.0</v>
      </c>
      <c r="K7" s="17">
        <v>2.0</v>
      </c>
      <c r="L7" s="18">
        <v>1.0</v>
      </c>
      <c r="M7" s="16">
        <v>-1.0</v>
      </c>
      <c r="N7" s="23">
        <v>-1.0</v>
      </c>
      <c r="O7" s="16">
        <v>1.0</v>
      </c>
      <c r="P7" s="15">
        <v>1.0</v>
      </c>
      <c r="Q7" s="15">
        <v>1.0</v>
      </c>
      <c r="R7" s="15">
        <v>1.0</v>
      </c>
      <c r="S7" s="18">
        <v>2.0</v>
      </c>
      <c r="T7" s="35">
        <v>2.0</v>
      </c>
      <c r="U7" s="20">
        <v>2.0</v>
      </c>
      <c r="V7" s="18">
        <v>2.0</v>
      </c>
      <c r="W7" s="36" t="s">
        <v>5</v>
      </c>
      <c r="X7" s="20" t="s">
        <v>6</v>
      </c>
      <c r="Y7" s="22" t="s">
        <v>7</v>
      </c>
      <c r="Z7" s="22" t="s">
        <v>8</v>
      </c>
      <c r="AA7" s="22" t="s">
        <v>9</v>
      </c>
      <c r="AB7" s="19"/>
      <c r="AC7" s="34"/>
      <c r="AD7" s="15"/>
      <c r="AE7" s="15"/>
      <c r="AF7" s="15"/>
      <c r="AG7" s="20"/>
      <c r="AH7" s="15"/>
      <c r="AI7" s="15"/>
      <c r="AJ7" s="20"/>
      <c r="AK7" s="19"/>
      <c r="AL7" s="20"/>
      <c r="AM7" s="18"/>
      <c r="AN7" s="15"/>
      <c r="AO7" s="15"/>
      <c r="AP7" s="15"/>
      <c r="AQ7" s="20"/>
      <c r="AR7" s="20"/>
      <c r="AS7" s="24"/>
      <c r="AT7" s="15"/>
      <c r="AU7" s="15"/>
      <c r="AV7" s="15"/>
      <c r="AW7" s="15"/>
      <c r="AX7" s="15"/>
      <c r="AY7" s="24"/>
      <c r="AZ7" s="24"/>
      <c r="BA7" s="15"/>
      <c r="BB7" s="15"/>
      <c r="BC7" s="18"/>
      <c r="BD7" s="15"/>
      <c r="BE7" s="18"/>
      <c r="BF7" s="25"/>
      <c r="BG7" s="26"/>
      <c r="BH7" s="32"/>
      <c r="BI7" s="26"/>
      <c r="BJ7" s="26"/>
      <c r="BK7" s="27"/>
    </row>
    <row r="8">
      <c r="A8" s="15" t="s">
        <v>14</v>
      </c>
      <c r="B8" s="16">
        <f t="shared" si="2"/>
        <v>22</v>
      </c>
      <c r="C8" s="37"/>
      <c r="D8" s="31"/>
      <c r="E8" s="17">
        <v>1.0</v>
      </c>
      <c r="F8" s="16">
        <v>2.0</v>
      </c>
      <c r="G8" s="16">
        <v>1.0</v>
      </c>
      <c r="H8" s="16">
        <v>1.0</v>
      </c>
      <c r="I8" s="16">
        <v>2.0</v>
      </c>
      <c r="J8" s="16">
        <v>-1.0</v>
      </c>
      <c r="K8" s="17">
        <v>2.0</v>
      </c>
      <c r="L8" s="18">
        <v>1.0</v>
      </c>
      <c r="M8" s="16">
        <v>-1.0</v>
      </c>
      <c r="N8" s="16">
        <v>2.0</v>
      </c>
      <c r="O8" s="16">
        <v>1.0</v>
      </c>
      <c r="P8" s="15">
        <v>1.0</v>
      </c>
      <c r="Q8" s="15">
        <v>1.0</v>
      </c>
      <c r="R8" s="15">
        <v>1.0</v>
      </c>
      <c r="S8" s="18">
        <v>2.0</v>
      </c>
      <c r="T8" s="35">
        <v>2.0</v>
      </c>
      <c r="U8" s="20">
        <v>2.0</v>
      </c>
      <c r="V8" s="18">
        <v>2.0</v>
      </c>
      <c r="W8" s="28" t="s">
        <v>5</v>
      </c>
      <c r="X8" s="20" t="s">
        <v>11</v>
      </c>
      <c r="Y8" s="20" t="s">
        <v>15</v>
      </c>
      <c r="Z8" s="20" t="s">
        <v>8</v>
      </c>
      <c r="AA8" s="20" t="s">
        <v>9</v>
      </c>
      <c r="AB8" s="19"/>
      <c r="AC8" s="34"/>
      <c r="AD8" s="15"/>
      <c r="AE8" s="15"/>
      <c r="AF8" s="15"/>
      <c r="AG8" s="20"/>
      <c r="AH8" s="15"/>
      <c r="AI8" s="15"/>
      <c r="AJ8" s="20"/>
      <c r="AK8" s="23"/>
      <c r="AL8" s="20"/>
      <c r="AM8" s="31"/>
      <c r="AN8" s="31"/>
      <c r="AO8" s="31"/>
      <c r="AP8" s="31"/>
      <c r="AQ8" s="20"/>
      <c r="AR8" s="20"/>
      <c r="AS8" s="24"/>
      <c r="AT8" s="15"/>
      <c r="AU8" s="15"/>
      <c r="AV8" s="15"/>
      <c r="AW8" s="15"/>
      <c r="AX8" s="15"/>
      <c r="AY8" s="24"/>
      <c r="AZ8" s="24"/>
      <c r="BA8" s="15"/>
      <c r="BB8" s="15"/>
      <c r="BC8" s="31"/>
      <c r="BD8" s="31"/>
      <c r="BE8" s="18"/>
      <c r="BF8" s="25"/>
      <c r="BG8" s="26"/>
      <c r="BH8" s="32"/>
      <c r="BI8" s="26"/>
      <c r="BJ8" s="26"/>
      <c r="BK8" s="27"/>
    </row>
    <row r="9">
      <c r="A9" s="15" t="s">
        <v>16</v>
      </c>
      <c r="B9" s="16">
        <f t="shared" si="2"/>
        <v>23</v>
      </c>
      <c r="C9" s="16">
        <v>2.0</v>
      </c>
      <c r="D9" s="15">
        <v>-1.0</v>
      </c>
      <c r="E9" s="17">
        <v>1.0</v>
      </c>
      <c r="F9" s="17">
        <v>-1.0</v>
      </c>
      <c r="G9" s="16">
        <v>1.0</v>
      </c>
      <c r="H9" s="16">
        <v>1.0</v>
      </c>
      <c r="I9" s="16">
        <v>2.0</v>
      </c>
      <c r="J9" s="16">
        <v>-1.0</v>
      </c>
      <c r="K9" s="17">
        <v>2.0</v>
      </c>
      <c r="L9" s="18">
        <v>1.0</v>
      </c>
      <c r="M9" s="19">
        <v>2.0</v>
      </c>
      <c r="N9" s="16">
        <v>2.0</v>
      </c>
      <c r="O9" s="16">
        <v>1.0</v>
      </c>
      <c r="P9" s="15">
        <v>1.0</v>
      </c>
      <c r="Q9" s="15">
        <v>1.0</v>
      </c>
      <c r="R9" s="15">
        <v>1.0</v>
      </c>
      <c r="S9" s="18">
        <v>2.0</v>
      </c>
      <c r="T9" s="35">
        <v>2.0</v>
      </c>
      <c r="U9" s="20">
        <v>2.0</v>
      </c>
      <c r="V9" s="18">
        <v>2.0</v>
      </c>
      <c r="W9" s="36" t="s">
        <v>5</v>
      </c>
      <c r="X9" s="21" t="s">
        <v>11</v>
      </c>
      <c r="Y9" s="22" t="s">
        <v>7</v>
      </c>
      <c r="Z9" s="22" t="s">
        <v>8</v>
      </c>
      <c r="AA9" s="22" t="s">
        <v>9</v>
      </c>
      <c r="AB9" s="19"/>
      <c r="AC9" s="34"/>
      <c r="AD9" s="15"/>
      <c r="AE9" s="15"/>
      <c r="AF9" s="31"/>
      <c r="AG9" s="31"/>
      <c r="AH9" s="31"/>
      <c r="AI9" s="31"/>
      <c r="AJ9" s="31"/>
      <c r="AK9" s="19"/>
      <c r="AL9" s="20"/>
      <c r="AM9" s="18"/>
      <c r="AN9" s="15"/>
      <c r="AO9" s="15"/>
      <c r="AP9" s="18"/>
      <c r="AQ9" s="20"/>
      <c r="AR9" s="20"/>
      <c r="AS9" s="24"/>
      <c r="AT9" s="15"/>
      <c r="AU9" s="15"/>
      <c r="AV9" s="15"/>
      <c r="AW9" s="15"/>
      <c r="AX9" s="15"/>
      <c r="AY9" s="24"/>
      <c r="AZ9" s="24"/>
      <c r="BA9" s="15"/>
      <c r="BB9" s="15"/>
      <c r="BC9" s="15"/>
      <c r="BD9" s="15"/>
      <c r="BE9" s="18"/>
      <c r="BF9" s="25"/>
      <c r="BG9" s="26"/>
      <c r="BH9" s="26"/>
      <c r="BI9" s="26"/>
      <c r="BJ9" s="38"/>
      <c r="BK9" s="39"/>
    </row>
    <row r="10">
      <c r="A10" s="15" t="s">
        <v>17</v>
      </c>
      <c r="B10" s="16">
        <f t="shared" si="2"/>
        <v>26</v>
      </c>
      <c r="C10" s="16">
        <v>2.0</v>
      </c>
      <c r="D10" s="15">
        <v>2.0</v>
      </c>
      <c r="E10" s="17">
        <v>1.0</v>
      </c>
      <c r="F10" s="16">
        <v>2.0</v>
      </c>
      <c r="G10" s="16">
        <v>1.0</v>
      </c>
      <c r="H10" s="16">
        <v>1.0</v>
      </c>
      <c r="I10" s="16">
        <v>2.0</v>
      </c>
      <c r="J10" s="16">
        <v>-1.0</v>
      </c>
      <c r="K10" s="17">
        <v>2.0</v>
      </c>
      <c r="L10" s="18">
        <v>1.0</v>
      </c>
      <c r="M10" s="16">
        <v>-1.0</v>
      </c>
      <c r="N10" s="16">
        <v>2.0</v>
      </c>
      <c r="O10" s="16">
        <v>1.0</v>
      </c>
      <c r="P10" s="15">
        <v>1.0</v>
      </c>
      <c r="Q10" s="15">
        <v>1.0</v>
      </c>
      <c r="R10" s="15">
        <v>1.0</v>
      </c>
      <c r="S10" s="18">
        <v>2.0</v>
      </c>
      <c r="T10" s="35">
        <v>2.0</v>
      </c>
      <c r="U10" s="20">
        <v>2.0</v>
      </c>
      <c r="V10" s="18">
        <v>2.0</v>
      </c>
      <c r="W10" s="28" t="s">
        <v>5</v>
      </c>
      <c r="X10" s="40" t="s">
        <v>11</v>
      </c>
      <c r="Y10" s="29" t="s">
        <v>7</v>
      </c>
      <c r="Z10" s="29" t="s">
        <v>8</v>
      </c>
      <c r="AA10" s="29" t="s">
        <v>9</v>
      </c>
      <c r="AB10" s="19"/>
      <c r="AC10" s="34"/>
      <c r="AD10" s="15"/>
      <c r="AE10" s="15"/>
      <c r="AF10" s="15"/>
      <c r="AG10" s="20"/>
      <c r="AH10" s="15"/>
      <c r="AI10" s="15"/>
      <c r="AJ10" s="20"/>
      <c r="AK10" s="19"/>
      <c r="AL10" s="20"/>
      <c r="AM10" s="18"/>
      <c r="AN10" s="15"/>
      <c r="AO10" s="15"/>
      <c r="AP10" s="18"/>
      <c r="AQ10" s="20"/>
      <c r="AR10" s="20"/>
      <c r="AS10" s="24"/>
      <c r="AT10" s="15"/>
      <c r="AU10" s="15"/>
      <c r="AV10" s="15"/>
      <c r="AW10" s="15"/>
      <c r="AX10" s="15"/>
      <c r="AY10" s="24"/>
      <c r="AZ10" s="24"/>
      <c r="BA10" s="15"/>
      <c r="BB10" s="15"/>
      <c r="BC10" s="15"/>
      <c r="BD10" s="15"/>
      <c r="BE10" s="15"/>
      <c r="BF10" s="41"/>
      <c r="BG10" s="26"/>
      <c r="BH10" s="26"/>
      <c r="BI10" s="33"/>
      <c r="BJ10" s="38"/>
      <c r="BK10" s="39"/>
    </row>
    <row r="11">
      <c r="A11" s="15" t="s">
        <v>18</v>
      </c>
      <c r="B11" s="16">
        <f t="shared" si="2"/>
        <v>26</v>
      </c>
      <c r="C11" s="16">
        <v>2.0</v>
      </c>
      <c r="D11" s="15">
        <v>2.0</v>
      </c>
      <c r="E11" s="17">
        <v>1.0</v>
      </c>
      <c r="F11" s="16">
        <v>2.0</v>
      </c>
      <c r="G11" s="16">
        <v>1.0</v>
      </c>
      <c r="H11" s="16">
        <v>1.0</v>
      </c>
      <c r="I11" s="16">
        <v>2.0</v>
      </c>
      <c r="J11" s="16">
        <v>-1.0</v>
      </c>
      <c r="K11" s="17">
        <v>2.0</v>
      </c>
      <c r="L11" s="18">
        <v>1.0</v>
      </c>
      <c r="M11" s="16">
        <v>-1.0</v>
      </c>
      <c r="N11" s="16">
        <v>2.0</v>
      </c>
      <c r="O11" s="16">
        <v>1.0</v>
      </c>
      <c r="P11" s="15">
        <v>1.0</v>
      </c>
      <c r="Q11" s="15">
        <v>1.0</v>
      </c>
      <c r="R11" s="15">
        <v>1.0</v>
      </c>
      <c r="S11" s="18">
        <v>2.0</v>
      </c>
      <c r="T11" s="35">
        <v>2.0</v>
      </c>
      <c r="U11" s="20">
        <v>2.0</v>
      </c>
      <c r="V11" s="18">
        <v>2.0</v>
      </c>
      <c r="W11" s="28" t="s">
        <v>5</v>
      </c>
      <c r="X11" s="20"/>
      <c r="Y11" s="20"/>
      <c r="Z11" s="20"/>
      <c r="AA11" s="20"/>
      <c r="AB11" s="19"/>
      <c r="AC11" s="34"/>
      <c r="AD11" s="15"/>
      <c r="AE11" s="15"/>
      <c r="AF11" s="20"/>
      <c r="AG11" s="20"/>
      <c r="AH11" s="15"/>
      <c r="AI11" s="15"/>
      <c r="AJ11" s="20"/>
      <c r="AK11" s="19"/>
      <c r="AL11" s="20"/>
      <c r="AM11" s="18"/>
      <c r="AN11" s="15"/>
      <c r="AO11" s="15"/>
      <c r="AP11" s="15"/>
      <c r="AQ11" s="20"/>
      <c r="AR11" s="20"/>
      <c r="AS11" s="24"/>
      <c r="AT11" s="15"/>
      <c r="AU11" s="15"/>
      <c r="AV11" s="15"/>
      <c r="AW11" s="15"/>
      <c r="AX11" s="15"/>
      <c r="AY11" s="24"/>
      <c r="AZ11" s="24"/>
      <c r="BA11" s="15"/>
      <c r="BB11" s="15"/>
      <c r="BC11" s="18"/>
      <c r="BD11" s="15"/>
      <c r="BE11" s="18"/>
      <c r="BF11" s="25"/>
      <c r="BG11" s="26"/>
      <c r="BH11" s="26"/>
      <c r="BI11" s="26"/>
      <c r="BJ11" s="26"/>
      <c r="BK11" s="27"/>
    </row>
    <row r="12">
      <c r="A12" s="15" t="s">
        <v>19</v>
      </c>
      <c r="B12" s="16">
        <f t="shared" si="2"/>
        <v>11</v>
      </c>
      <c r="C12" s="37"/>
      <c r="D12" s="31"/>
      <c r="E12" s="31"/>
      <c r="F12" s="31"/>
      <c r="G12" s="31"/>
      <c r="H12" s="16"/>
      <c r="I12" s="16"/>
      <c r="J12" s="31"/>
      <c r="K12" s="17">
        <v>2.0</v>
      </c>
      <c r="L12" s="18">
        <v>1.0</v>
      </c>
      <c r="M12" s="19">
        <v>2.0</v>
      </c>
      <c r="N12" s="16">
        <v>2.0</v>
      </c>
      <c r="O12" s="16">
        <v>1.0</v>
      </c>
      <c r="P12" s="15">
        <v>1.0</v>
      </c>
      <c r="Q12" s="15">
        <v>1.0</v>
      </c>
      <c r="R12" s="15">
        <v>1.0</v>
      </c>
      <c r="S12" s="31"/>
      <c r="T12" s="42"/>
      <c r="U12" s="31"/>
      <c r="V12" s="31"/>
      <c r="W12" s="15" t="s">
        <v>5</v>
      </c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43"/>
      <c r="BG12" s="32"/>
      <c r="BH12" s="32"/>
      <c r="BI12" s="26"/>
      <c r="BJ12" s="26"/>
      <c r="BK12" s="27"/>
    </row>
    <row r="13">
      <c r="A13" s="15" t="s">
        <v>20</v>
      </c>
      <c r="B13" s="16">
        <f t="shared" si="2"/>
        <v>29</v>
      </c>
      <c r="C13" s="16">
        <v>2.0</v>
      </c>
      <c r="D13" s="15">
        <v>2.0</v>
      </c>
      <c r="E13" s="17">
        <v>1.0</v>
      </c>
      <c r="F13" s="17">
        <v>-1.0</v>
      </c>
      <c r="G13" s="16">
        <v>1.0</v>
      </c>
      <c r="H13" s="16">
        <v>1.0</v>
      </c>
      <c r="I13" s="16">
        <v>2.0</v>
      </c>
      <c r="J13" s="16">
        <v>2.0</v>
      </c>
      <c r="K13" s="17">
        <v>2.0</v>
      </c>
      <c r="L13" s="18">
        <v>1.0</v>
      </c>
      <c r="M13" s="19">
        <v>2.0</v>
      </c>
      <c r="N13" s="16">
        <v>2.0</v>
      </c>
      <c r="O13" s="16">
        <v>1.0</v>
      </c>
      <c r="P13" s="15">
        <v>1.0</v>
      </c>
      <c r="Q13" s="15">
        <v>1.0</v>
      </c>
      <c r="R13" s="15">
        <v>1.0</v>
      </c>
      <c r="S13" s="18">
        <v>2.0</v>
      </c>
      <c r="T13" s="35">
        <v>2.0</v>
      </c>
      <c r="U13" s="20">
        <v>2.0</v>
      </c>
      <c r="V13" s="18">
        <v>2.0</v>
      </c>
      <c r="W13" s="36" t="s">
        <v>5</v>
      </c>
      <c r="X13" s="40" t="s">
        <v>11</v>
      </c>
      <c r="Y13" s="22" t="s">
        <v>7</v>
      </c>
      <c r="Z13" s="35" t="s">
        <v>21</v>
      </c>
      <c r="AA13" s="22" t="s">
        <v>9</v>
      </c>
      <c r="AB13" s="19"/>
      <c r="AC13" s="34"/>
      <c r="AD13" s="15"/>
      <c r="AE13" s="15"/>
      <c r="AF13" s="15"/>
      <c r="AG13" s="20"/>
      <c r="AH13" s="15"/>
      <c r="AI13" s="20"/>
      <c r="AJ13" s="20"/>
      <c r="AK13" s="23"/>
      <c r="AL13" s="20"/>
      <c r="AM13" s="18"/>
      <c r="AN13" s="15"/>
      <c r="AO13" s="15"/>
      <c r="AP13" s="15"/>
      <c r="AQ13" s="20"/>
      <c r="AR13" s="20"/>
      <c r="AS13" s="24"/>
      <c r="AT13" s="15"/>
      <c r="AU13" s="15"/>
      <c r="AV13" s="15"/>
      <c r="AW13" s="15"/>
      <c r="AX13" s="15"/>
      <c r="AY13" s="24"/>
      <c r="AZ13" s="24"/>
      <c r="BA13" s="15"/>
      <c r="BB13" s="15"/>
      <c r="BC13" s="18"/>
      <c r="BD13" s="15"/>
      <c r="BE13" s="18"/>
      <c r="BF13" s="25"/>
      <c r="BG13" s="26"/>
      <c r="BH13" s="26"/>
      <c r="BI13" s="26"/>
      <c r="BJ13" s="26"/>
      <c r="BK13" s="27"/>
    </row>
    <row r="14">
      <c r="A14" s="15" t="s">
        <v>22</v>
      </c>
      <c r="B14" s="16">
        <f t="shared" si="2"/>
        <v>29</v>
      </c>
      <c r="C14" s="16">
        <v>2.0</v>
      </c>
      <c r="D14" s="15">
        <v>2.0</v>
      </c>
      <c r="E14" s="17">
        <v>1.0</v>
      </c>
      <c r="F14" s="16">
        <v>2.0</v>
      </c>
      <c r="G14" s="16">
        <v>1.0</v>
      </c>
      <c r="H14" s="16">
        <v>1.0</v>
      </c>
      <c r="I14" s="16">
        <v>2.0</v>
      </c>
      <c r="J14" s="16">
        <v>-1.0</v>
      </c>
      <c r="K14" s="17">
        <v>2.0</v>
      </c>
      <c r="L14" s="18">
        <v>1.0</v>
      </c>
      <c r="M14" s="19">
        <v>2.0</v>
      </c>
      <c r="N14" s="16">
        <v>2.0</v>
      </c>
      <c r="O14" s="16">
        <v>1.0</v>
      </c>
      <c r="P14" s="15">
        <v>1.0</v>
      </c>
      <c r="Q14" s="15">
        <v>1.0</v>
      </c>
      <c r="R14" s="15">
        <v>1.0</v>
      </c>
      <c r="S14" s="18">
        <v>2.0</v>
      </c>
      <c r="T14" s="35">
        <v>2.0</v>
      </c>
      <c r="U14" s="20">
        <v>2.0</v>
      </c>
      <c r="V14" s="18">
        <v>2.0</v>
      </c>
      <c r="W14" s="30" t="s">
        <v>5</v>
      </c>
      <c r="X14" s="20" t="s">
        <v>11</v>
      </c>
      <c r="Y14" s="20" t="s">
        <v>7</v>
      </c>
      <c r="Z14" s="20" t="s">
        <v>8</v>
      </c>
      <c r="AA14" s="20" t="s">
        <v>9</v>
      </c>
      <c r="AB14" s="31"/>
      <c r="AC14" s="31"/>
      <c r="AD14" s="31"/>
      <c r="AE14" s="31"/>
      <c r="AF14" s="31"/>
      <c r="AG14" s="31"/>
      <c r="AH14" s="31"/>
      <c r="AI14" s="15"/>
      <c r="AJ14" s="20"/>
      <c r="AK14" s="19"/>
      <c r="AL14" s="20"/>
      <c r="AM14" s="18"/>
      <c r="AN14" s="15"/>
      <c r="AO14" s="15"/>
      <c r="AP14" s="15"/>
      <c r="AQ14" s="20"/>
      <c r="AR14" s="20"/>
      <c r="AS14" s="24"/>
      <c r="AT14" s="15"/>
      <c r="AU14" s="15"/>
      <c r="AV14" s="15"/>
      <c r="AW14" s="15"/>
      <c r="AX14" s="15"/>
      <c r="AY14" s="24"/>
      <c r="AZ14" s="24"/>
      <c r="BA14" s="15"/>
      <c r="BB14" s="15"/>
      <c r="BC14" s="15"/>
      <c r="BD14" s="15"/>
      <c r="BE14" s="18"/>
      <c r="BF14" s="25"/>
      <c r="BG14" s="26"/>
      <c r="BH14" s="26"/>
      <c r="BI14" s="26"/>
      <c r="BJ14" s="26"/>
      <c r="BK14" s="27"/>
    </row>
    <row r="15">
      <c r="A15" s="15" t="s">
        <v>23</v>
      </c>
      <c r="B15" s="16">
        <f t="shared" si="2"/>
        <v>17</v>
      </c>
      <c r="C15" s="16">
        <v>2.0</v>
      </c>
      <c r="D15" s="15">
        <v>-1.0</v>
      </c>
      <c r="E15" s="17">
        <v>1.0</v>
      </c>
      <c r="F15" s="17">
        <v>-1.0</v>
      </c>
      <c r="G15" s="16">
        <v>1.0</v>
      </c>
      <c r="H15" s="16">
        <v>1.0</v>
      </c>
      <c r="I15" s="16">
        <v>2.0</v>
      </c>
      <c r="J15" s="16">
        <v>-1.0</v>
      </c>
      <c r="K15" s="17">
        <v>2.0</v>
      </c>
      <c r="L15" s="18">
        <v>1.0</v>
      </c>
      <c r="M15" s="16">
        <v>-1.0</v>
      </c>
      <c r="N15" s="16">
        <v>2.0</v>
      </c>
      <c r="O15" s="16">
        <v>1.0</v>
      </c>
      <c r="P15" s="15">
        <v>1.0</v>
      </c>
      <c r="Q15" s="15">
        <v>1.0</v>
      </c>
      <c r="R15" s="15">
        <v>1.0</v>
      </c>
      <c r="S15" s="18">
        <v>2.0</v>
      </c>
      <c r="T15" s="35">
        <v>-1.0</v>
      </c>
      <c r="U15" s="20">
        <v>2.0</v>
      </c>
      <c r="V15" s="18">
        <v>2.0</v>
      </c>
      <c r="W15" s="36" t="s">
        <v>5</v>
      </c>
      <c r="X15" s="21" t="s">
        <v>11</v>
      </c>
      <c r="Y15" s="22" t="s">
        <v>7</v>
      </c>
      <c r="Z15" s="22" t="s">
        <v>8</v>
      </c>
      <c r="AA15" s="22" t="s">
        <v>9</v>
      </c>
      <c r="AB15" s="19"/>
      <c r="AC15" s="34"/>
      <c r="AD15" s="15"/>
      <c r="AE15" s="15"/>
      <c r="AF15" s="20"/>
      <c r="AG15" s="20"/>
      <c r="AH15" s="15"/>
      <c r="AI15" s="20"/>
      <c r="AJ15" s="20"/>
      <c r="AK15" s="19"/>
      <c r="AL15" s="20"/>
      <c r="AM15" s="18"/>
      <c r="AN15" s="15"/>
      <c r="AO15" s="15"/>
      <c r="AP15" s="15"/>
      <c r="AQ15" s="20"/>
      <c r="AR15" s="20"/>
      <c r="AS15" s="24"/>
      <c r="AT15" s="15"/>
      <c r="AU15" s="15"/>
      <c r="AV15" s="15"/>
      <c r="AW15" s="15"/>
      <c r="AX15" s="15"/>
      <c r="AY15" s="24"/>
      <c r="AZ15" s="24"/>
      <c r="BA15" s="15"/>
      <c r="BB15" s="15"/>
      <c r="BC15" s="18"/>
      <c r="BD15" s="15"/>
      <c r="BE15" s="18"/>
      <c r="BF15" s="25"/>
      <c r="BG15" s="26"/>
      <c r="BH15" s="26"/>
      <c r="BI15" s="26"/>
      <c r="BJ15" s="38"/>
      <c r="BK15" s="39"/>
    </row>
    <row r="16">
      <c r="A16" s="44" t="s">
        <v>24</v>
      </c>
      <c r="B16" s="16">
        <f t="shared" si="2"/>
        <v>21</v>
      </c>
      <c r="C16" s="16">
        <v>2.0</v>
      </c>
      <c r="D16" s="15">
        <v>-1.0</v>
      </c>
      <c r="E16" s="17">
        <v>1.0</v>
      </c>
      <c r="F16" s="16">
        <v>2.0</v>
      </c>
      <c r="G16" s="16">
        <v>1.0</v>
      </c>
      <c r="H16" s="16">
        <v>1.0</v>
      </c>
      <c r="I16" s="16">
        <v>-1.0</v>
      </c>
      <c r="J16" s="16">
        <v>-1.0</v>
      </c>
      <c r="K16" s="17">
        <v>2.0</v>
      </c>
      <c r="L16" s="18">
        <v>1.0</v>
      </c>
      <c r="M16" s="16"/>
      <c r="N16" s="16">
        <v>2.0</v>
      </c>
      <c r="O16" s="16">
        <v>1.0</v>
      </c>
      <c r="P16" s="15">
        <v>1.0</v>
      </c>
      <c r="Q16" s="15">
        <v>1.0</v>
      </c>
      <c r="R16" s="15">
        <v>1.0</v>
      </c>
      <c r="S16" s="18">
        <v>2.0</v>
      </c>
      <c r="T16" s="35">
        <v>2.0</v>
      </c>
      <c r="U16" s="20">
        <v>2.0</v>
      </c>
      <c r="V16" s="18">
        <v>2.0</v>
      </c>
      <c r="W16" s="36" t="s">
        <v>5</v>
      </c>
      <c r="X16" s="20" t="s">
        <v>6</v>
      </c>
      <c r="Y16" s="22" t="s">
        <v>7</v>
      </c>
      <c r="Z16" s="22" t="s">
        <v>8</v>
      </c>
      <c r="AA16" s="22" t="s">
        <v>9</v>
      </c>
      <c r="AB16" s="19"/>
      <c r="AC16" s="34"/>
      <c r="AD16" s="15"/>
      <c r="AE16" s="15"/>
      <c r="AF16" s="20"/>
      <c r="AG16" s="20"/>
      <c r="AH16" s="15"/>
      <c r="AI16" s="20"/>
      <c r="AJ16" s="20"/>
      <c r="AK16" s="19"/>
      <c r="AL16" s="20"/>
      <c r="AM16" s="40"/>
      <c r="AN16" s="40"/>
      <c r="AO16" s="40"/>
      <c r="AP16" s="40"/>
      <c r="AQ16" s="20"/>
      <c r="AR16" s="20"/>
      <c r="AS16" s="24"/>
      <c r="AT16" s="15"/>
      <c r="AU16" s="15"/>
      <c r="AV16" s="15"/>
      <c r="AW16" s="15"/>
      <c r="AX16" s="15"/>
      <c r="AY16" s="24"/>
      <c r="AZ16" s="24"/>
      <c r="BA16" s="15"/>
      <c r="BB16" s="15"/>
      <c r="BC16" s="18"/>
      <c r="BD16" s="15"/>
      <c r="BE16" s="18"/>
      <c r="BF16" s="25"/>
      <c r="BG16" s="26"/>
      <c r="BH16" s="26"/>
      <c r="BI16" s="26"/>
      <c r="BJ16" s="26"/>
      <c r="BK16" s="27"/>
    </row>
    <row r="17">
      <c r="A17" s="15" t="s">
        <v>25</v>
      </c>
      <c r="B17" s="16">
        <f t="shared" si="2"/>
        <v>32</v>
      </c>
      <c r="C17" s="16">
        <v>2.0</v>
      </c>
      <c r="D17" s="15">
        <v>2.0</v>
      </c>
      <c r="E17" s="17">
        <v>1.0</v>
      </c>
      <c r="F17" s="16">
        <v>2.0</v>
      </c>
      <c r="G17" s="16">
        <v>1.0</v>
      </c>
      <c r="H17" s="16">
        <v>1.0</v>
      </c>
      <c r="I17" s="16">
        <v>2.0</v>
      </c>
      <c r="J17" s="16">
        <v>2.0</v>
      </c>
      <c r="K17" s="17">
        <v>2.0</v>
      </c>
      <c r="L17" s="18">
        <v>1.0</v>
      </c>
      <c r="M17" s="19">
        <v>2.0</v>
      </c>
      <c r="N17" s="16">
        <v>2.0</v>
      </c>
      <c r="O17" s="16">
        <v>1.0</v>
      </c>
      <c r="P17" s="15">
        <v>1.0</v>
      </c>
      <c r="Q17" s="15">
        <v>1.0</v>
      </c>
      <c r="R17" s="15">
        <v>1.0</v>
      </c>
      <c r="S17" s="18">
        <v>2.0</v>
      </c>
      <c r="T17" s="35">
        <v>2.0</v>
      </c>
      <c r="U17" s="20">
        <v>2.0</v>
      </c>
      <c r="V17" s="18">
        <v>2.0</v>
      </c>
      <c r="W17" s="36" t="s">
        <v>5</v>
      </c>
      <c r="X17" s="21" t="s">
        <v>11</v>
      </c>
      <c r="Y17" s="22" t="s">
        <v>7</v>
      </c>
      <c r="Z17" s="22" t="s">
        <v>8</v>
      </c>
      <c r="AA17" s="22" t="s">
        <v>9</v>
      </c>
      <c r="AB17" s="19"/>
      <c r="AC17" s="34"/>
      <c r="AD17" s="15"/>
      <c r="AE17" s="15"/>
      <c r="AF17" s="20"/>
      <c r="AG17" s="20"/>
      <c r="AH17" s="15"/>
      <c r="AI17" s="20"/>
      <c r="AJ17" s="20"/>
      <c r="AK17" s="23"/>
      <c r="AL17" s="20"/>
      <c r="AM17" s="18"/>
      <c r="AN17" s="15"/>
      <c r="AO17" s="15"/>
      <c r="AP17" s="15"/>
      <c r="AQ17" s="20"/>
      <c r="AR17" s="20"/>
      <c r="AS17" s="24"/>
      <c r="AT17" s="15"/>
      <c r="AU17" s="15"/>
      <c r="AV17" s="15"/>
      <c r="AW17" s="15"/>
      <c r="AX17" s="15"/>
      <c r="AY17" s="24"/>
      <c r="AZ17" s="24"/>
      <c r="BA17" s="15"/>
      <c r="BB17" s="15"/>
      <c r="BC17" s="15"/>
      <c r="BD17" s="15"/>
      <c r="BE17" s="18"/>
      <c r="BF17" s="25"/>
      <c r="BG17" s="26"/>
      <c r="BH17" s="26"/>
      <c r="BI17" s="26"/>
      <c r="BJ17" s="26"/>
      <c r="BK17" s="27"/>
    </row>
    <row r="18">
      <c r="A18" s="15" t="s">
        <v>26</v>
      </c>
      <c r="B18" s="16">
        <f t="shared" si="2"/>
        <v>29</v>
      </c>
      <c r="C18" s="16">
        <v>2.0</v>
      </c>
      <c r="D18" s="15">
        <v>-1.0</v>
      </c>
      <c r="E18" s="17">
        <v>1.0</v>
      </c>
      <c r="F18" s="16">
        <v>2.0</v>
      </c>
      <c r="G18" s="16">
        <v>1.0</v>
      </c>
      <c r="H18" s="16">
        <v>1.0</v>
      </c>
      <c r="I18" s="16">
        <v>2.0</v>
      </c>
      <c r="J18" s="16">
        <v>2.0</v>
      </c>
      <c r="K18" s="17">
        <v>2.0</v>
      </c>
      <c r="L18" s="18">
        <v>1.0</v>
      </c>
      <c r="M18" s="19">
        <v>2.0</v>
      </c>
      <c r="N18" s="16">
        <v>2.0</v>
      </c>
      <c r="O18" s="16">
        <v>1.0</v>
      </c>
      <c r="P18" s="15">
        <v>1.0</v>
      </c>
      <c r="Q18" s="15">
        <v>1.0</v>
      </c>
      <c r="R18" s="15">
        <v>1.0</v>
      </c>
      <c r="S18" s="18">
        <v>2.0</v>
      </c>
      <c r="T18" s="35">
        <v>2.0</v>
      </c>
      <c r="U18" s="20">
        <v>2.0</v>
      </c>
      <c r="V18" s="18">
        <v>2.0</v>
      </c>
      <c r="W18" s="36" t="s">
        <v>5</v>
      </c>
      <c r="X18" s="20" t="s">
        <v>6</v>
      </c>
      <c r="Y18" s="22" t="s">
        <v>7</v>
      </c>
      <c r="Z18" s="22" t="s">
        <v>8</v>
      </c>
      <c r="AA18" s="22" t="s">
        <v>9</v>
      </c>
      <c r="AB18" s="19"/>
      <c r="AC18" s="34"/>
      <c r="AD18" s="15"/>
      <c r="AE18" s="15"/>
      <c r="AF18" s="20"/>
      <c r="AG18" s="20"/>
      <c r="AH18" s="15"/>
      <c r="AI18" s="20"/>
      <c r="AJ18" s="20"/>
      <c r="AK18" s="19"/>
      <c r="AL18" s="20"/>
      <c r="AM18" s="18"/>
      <c r="AN18" s="15"/>
      <c r="AO18" s="15"/>
      <c r="AP18" s="15"/>
      <c r="AQ18" s="20"/>
      <c r="AR18" s="20"/>
      <c r="AS18" s="24"/>
      <c r="AT18" s="15"/>
      <c r="AU18" s="15"/>
      <c r="AV18" s="15"/>
      <c r="AW18" s="15"/>
      <c r="AX18" s="15"/>
      <c r="AY18" s="24"/>
      <c r="AZ18" s="24"/>
      <c r="BA18" s="15"/>
      <c r="BB18" s="15"/>
      <c r="BC18" s="18"/>
      <c r="BD18" s="15"/>
      <c r="BE18" s="18"/>
      <c r="BF18" s="25"/>
      <c r="BG18" s="26"/>
      <c r="BH18" s="26"/>
      <c r="BI18" s="26"/>
      <c r="BJ18" s="26"/>
      <c r="BK18" s="27"/>
    </row>
    <row r="19">
      <c r="A19" s="15" t="s">
        <v>27</v>
      </c>
      <c r="B19" s="16">
        <f t="shared" si="2"/>
        <v>29</v>
      </c>
      <c r="C19" s="16">
        <v>2.0</v>
      </c>
      <c r="D19" s="15">
        <v>2.0</v>
      </c>
      <c r="E19" s="17">
        <v>1.0</v>
      </c>
      <c r="F19" s="16">
        <v>2.0</v>
      </c>
      <c r="G19" s="16">
        <v>1.0</v>
      </c>
      <c r="H19" s="16">
        <v>1.0</v>
      </c>
      <c r="I19" s="16">
        <v>2.0</v>
      </c>
      <c r="J19" s="16">
        <v>-1.0</v>
      </c>
      <c r="K19" s="17">
        <v>2.0</v>
      </c>
      <c r="L19" s="18">
        <v>1.0</v>
      </c>
      <c r="M19" s="19">
        <v>2.0</v>
      </c>
      <c r="N19" s="16">
        <v>2.0</v>
      </c>
      <c r="O19" s="16">
        <v>1.0</v>
      </c>
      <c r="P19" s="15">
        <v>1.0</v>
      </c>
      <c r="Q19" s="15">
        <v>1.0</v>
      </c>
      <c r="R19" s="15">
        <v>1.0</v>
      </c>
      <c r="S19" s="18">
        <v>2.0</v>
      </c>
      <c r="T19" s="35">
        <v>2.0</v>
      </c>
      <c r="U19" s="20">
        <v>2.0</v>
      </c>
      <c r="V19" s="18">
        <v>2.0</v>
      </c>
      <c r="W19" s="30" t="s">
        <v>5</v>
      </c>
      <c r="X19" s="40" t="s">
        <v>11</v>
      </c>
      <c r="Y19" s="29" t="s">
        <v>7</v>
      </c>
      <c r="Z19" s="29" t="s">
        <v>8</v>
      </c>
      <c r="AA19" s="29" t="s">
        <v>9</v>
      </c>
      <c r="AB19" s="30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24"/>
      <c r="AZ19" s="15"/>
      <c r="BA19" s="15"/>
      <c r="BB19" s="15"/>
      <c r="BC19" s="31"/>
      <c r="BD19" s="31"/>
      <c r="BE19" s="15"/>
      <c r="BF19" s="41"/>
      <c r="BG19" s="32"/>
      <c r="BH19" s="32"/>
      <c r="BI19" s="45"/>
      <c r="BJ19" s="45"/>
    </row>
    <row r="20">
      <c r="A20" s="15" t="s">
        <v>28</v>
      </c>
      <c r="B20" s="16">
        <f t="shared" si="2"/>
        <v>26</v>
      </c>
      <c r="C20" s="16">
        <v>2.0</v>
      </c>
      <c r="D20" s="15">
        <v>-1.0</v>
      </c>
      <c r="E20" s="17">
        <v>1.0</v>
      </c>
      <c r="F20" s="16">
        <v>2.0</v>
      </c>
      <c r="G20" s="16">
        <v>1.0</v>
      </c>
      <c r="H20" s="16">
        <v>1.0</v>
      </c>
      <c r="I20" s="16">
        <v>2.0</v>
      </c>
      <c r="J20" s="16">
        <v>2.0</v>
      </c>
      <c r="K20" s="17">
        <v>2.0</v>
      </c>
      <c r="L20" s="18">
        <v>1.0</v>
      </c>
      <c r="M20" s="19">
        <v>2.0</v>
      </c>
      <c r="N20" s="16">
        <v>2.0</v>
      </c>
      <c r="O20" s="16">
        <v>1.0</v>
      </c>
      <c r="P20" s="15">
        <v>1.0</v>
      </c>
      <c r="Q20" s="15">
        <v>1.0</v>
      </c>
      <c r="R20" s="15">
        <v>1.0</v>
      </c>
      <c r="S20" s="18">
        <v>2.0</v>
      </c>
      <c r="T20" s="35">
        <v>-1.0</v>
      </c>
      <c r="U20" s="20">
        <v>2.0</v>
      </c>
      <c r="V20" s="18">
        <v>2.0</v>
      </c>
      <c r="W20" s="36" t="s">
        <v>5</v>
      </c>
      <c r="X20" s="21" t="s">
        <v>11</v>
      </c>
      <c r="Y20" s="22" t="s">
        <v>7</v>
      </c>
      <c r="Z20" s="22" t="s">
        <v>8</v>
      </c>
      <c r="AA20" s="22" t="s">
        <v>9</v>
      </c>
      <c r="AB20" s="19"/>
      <c r="AC20" s="34"/>
      <c r="AD20" s="15"/>
      <c r="AE20" s="15"/>
      <c r="AF20" s="15"/>
      <c r="AG20" s="20"/>
      <c r="AH20" s="15"/>
      <c r="AI20" s="20"/>
      <c r="AJ20" s="20"/>
      <c r="AK20" s="23"/>
      <c r="AL20" s="20"/>
      <c r="AM20" s="18"/>
      <c r="AN20" s="15"/>
      <c r="AO20" s="15"/>
      <c r="AP20" s="18"/>
      <c r="AQ20" s="20"/>
      <c r="AR20" s="20"/>
      <c r="AS20" s="24"/>
      <c r="AT20" s="15"/>
      <c r="AU20" s="24"/>
      <c r="AV20" s="15"/>
      <c r="AW20" s="15"/>
      <c r="AX20" s="15"/>
      <c r="AY20" s="24"/>
      <c r="AZ20" s="24"/>
      <c r="BA20" s="15"/>
      <c r="BB20" s="15"/>
      <c r="BC20" s="15"/>
      <c r="BD20" s="15"/>
      <c r="BE20" s="18"/>
      <c r="BF20" s="25"/>
      <c r="BG20" s="26"/>
      <c r="BH20" s="26"/>
      <c r="BI20" s="26"/>
      <c r="BJ20" s="38"/>
      <c r="BK20" s="39"/>
    </row>
    <row r="21">
      <c r="A21" s="15" t="s">
        <v>29</v>
      </c>
      <c r="B21" s="16">
        <f t="shared" si="2"/>
        <v>22</v>
      </c>
      <c r="C21" s="37"/>
      <c r="D21" s="31"/>
      <c r="E21" s="17">
        <v>1.0</v>
      </c>
      <c r="F21" s="16">
        <v>2.0</v>
      </c>
      <c r="G21" s="16">
        <v>1.0</v>
      </c>
      <c r="H21" s="16">
        <v>1.0</v>
      </c>
      <c r="I21" s="16">
        <v>2.0</v>
      </c>
      <c r="J21" s="16">
        <v>-1.0</v>
      </c>
      <c r="K21" s="17">
        <v>2.0</v>
      </c>
      <c r="L21" s="18">
        <v>1.0</v>
      </c>
      <c r="M21" s="16">
        <v>-1.0</v>
      </c>
      <c r="N21" s="16">
        <v>2.0</v>
      </c>
      <c r="O21" s="16">
        <v>1.0</v>
      </c>
      <c r="P21" s="15">
        <v>1.0</v>
      </c>
      <c r="Q21" s="15">
        <v>1.0</v>
      </c>
      <c r="R21" s="15">
        <v>1.0</v>
      </c>
      <c r="S21" s="18">
        <v>2.0</v>
      </c>
      <c r="T21" s="35">
        <v>2.0</v>
      </c>
      <c r="U21" s="20">
        <v>2.0</v>
      </c>
      <c r="V21" s="18">
        <v>2.0</v>
      </c>
      <c r="W21" s="28" t="s">
        <v>5</v>
      </c>
      <c r="X21" s="20" t="s">
        <v>11</v>
      </c>
      <c r="Y21" s="20" t="s">
        <v>7</v>
      </c>
      <c r="Z21" s="20" t="s">
        <v>8</v>
      </c>
      <c r="AA21" s="20" t="s">
        <v>9</v>
      </c>
      <c r="AB21" s="19"/>
      <c r="AC21" s="34"/>
      <c r="AD21" s="15"/>
      <c r="AE21" s="15"/>
      <c r="AF21" s="20"/>
      <c r="AG21" s="20"/>
      <c r="AH21" s="15"/>
      <c r="AI21" s="20"/>
      <c r="AJ21" s="20"/>
      <c r="AK21" s="23"/>
      <c r="AL21" s="20"/>
      <c r="AM21" s="18"/>
      <c r="AN21" s="15"/>
      <c r="AO21" s="15"/>
      <c r="AP21" s="15"/>
      <c r="AQ21" s="20"/>
      <c r="AR21" s="20"/>
      <c r="AS21" s="24"/>
      <c r="AT21" s="15"/>
      <c r="AU21" s="15"/>
      <c r="AV21" s="15"/>
      <c r="AW21" s="15"/>
      <c r="AX21" s="15"/>
      <c r="AY21" s="24"/>
      <c r="AZ21" s="24"/>
      <c r="BA21" s="15"/>
      <c r="BB21" s="15"/>
      <c r="BC21" s="15"/>
      <c r="BD21" s="15"/>
      <c r="BE21" s="18"/>
      <c r="BF21" s="25"/>
      <c r="BG21" s="26"/>
      <c r="BH21" s="26"/>
      <c r="BI21" s="26"/>
      <c r="BJ21" s="26"/>
      <c r="BK21" s="27"/>
    </row>
    <row r="22">
      <c r="A22" s="15" t="s">
        <v>30</v>
      </c>
      <c r="B22" s="16">
        <f t="shared" si="2"/>
        <v>23</v>
      </c>
      <c r="C22" s="16">
        <v>2.0</v>
      </c>
      <c r="D22" s="15">
        <v>-1.0</v>
      </c>
      <c r="E22" s="17">
        <v>1.0</v>
      </c>
      <c r="F22" s="16">
        <v>2.0</v>
      </c>
      <c r="G22" s="16">
        <v>1.0</v>
      </c>
      <c r="H22" s="16">
        <v>1.0</v>
      </c>
      <c r="I22" s="16">
        <v>2.0</v>
      </c>
      <c r="J22" s="16">
        <v>-1.0</v>
      </c>
      <c r="K22" s="17">
        <v>2.0</v>
      </c>
      <c r="L22" s="18">
        <v>1.0</v>
      </c>
      <c r="M22" s="16">
        <v>-1.0</v>
      </c>
      <c r="N22" s="16">
        <v>2.0</v>
      </c>
      <c r="O22" s="16">
        <v>1.0</v>
      </c>
      <c r="P22" s="15">
        <v>1.0</v>
      </c>
      <c r="Q22" s="15">
        <v>1.0</v>
      </c>
      <c r="R22" s="15">
        <v>1.0</v>
      </c>
      <c r="S22" s="18">
        <v>2.0</v>
      </c>
      <c r="T22" s="35">
        <v>2.0</v>
      </c>
      <c r="U22" s="20">
        <v>2.0</v>
      </c>
      <c r="V22" s="18">
        <v>2.0</v>
      </c>
      <c r="W22" s="36" t="s">
        <v>5</v>
      </c>
      <c r="X22" s="21" t="s">
        <v>11</v>
      </c>
      <c r="Y22" s="22" t="s">
        <v>7</v>
      </c>
      <c r="Z22" s="22" t="s">
        <v>8</v>
      </c>
      <c r="AA22" s="22" t="s">
        <v>9</v>
      </c>
      <c r="AB22" s="15"/>
      <c r="AC22" s="15"/>
      <c r="AD22" s="15"/>
      <c r="AE22" s="15"/>
      <c r="AF22" s="15"/>
      <c r="AG22" s="15"/>
      <c r="AH22" s="15"/>
      <c r="AI22" s="20"/>
      <c r="AJ22" s="15"/>
      <c r="AK22" s="23"/>
      <c r="AL22" s="15"/>
      <c r="AM22" s="15"/>
      <c r="AN22" s="15"/>
      <c r="AO22" s="15"/>
      <c r="AP22" s="18"/>
      <c r="AQ22" s="20"/>
      <c r="AR22" s="20"/>
      <c r="AS22" s="24"/>
      <c r="AT22" s="15"/>
      <c r="AU22" s="24"/>
      <c r="AV22" s="15"/>
      <c r="AW22" s="15"/>
      <c r="AX22" s="15"/>
      <c r="AY22" s="24"/>
      <c r="AZ22" s="15"/>
      <c r="BA22" s="15"/>
      <c r="BB22" s="15"/>
      <c r="BC22" s="18"/>
      <c r="BD22" s="15"/>
      <c r="BE22" s="18"/>
      <c r="BF22" s="25"/>
      <c r="BG22" s="26"/>
      <c r="BH22" s="32"/>
      <c r="BI22" s="26"/>
      <c r="BJ22" s="38"/>
      <c r="BK22" s="39"/>
    </row>
    <row r="23">
      <c r="A23" s="15" t="s">
        <v>31</v>
      </c>
      <c r="B23" s="16">
        <f t="shared" si="2"/>
        <v>21</v>
      </c>
      <c r="C23" s="16">
        <v>2.0</v>
      </c>
      <c r="D23" s="15">
        <v>2.0</v>
      </c>
      <c r="E23" s="17">
        <v>1.0</v>
      </c>
      <c r="F23" s="17">
        <v>-1.0</v>
      </c>
      <c r="G23" s="16">
        <v>1.0</v>
      </c>
      <c r="H23" s="16">
        <v>1.0</v>
      </c>
      <c r="I23" s="16">
        <v>2.0</v>
      </c>
      <c r="J23" s="16">
        <v>-1.0</v>
      </c>
      <c r="K23" s="17">
        <v>2.0</v>
      </c>
      <c r="L23" s="31"/>
      <c r="M23" s="31"/>
      <c r="N23" s="31"/>
      <c r="O23" s="16">
        <v>1.0</v>
      </c>
      <c r="P23" s="15">
        <v>1.0</v>
      </c>
      <c r="Q23" s="15">
        <v>1.0</v>
      </c>
      <c r="R23" s="15">
        <v>1.0</v>
      </c>
      <c r="S23" s="18">
        <v>2.0</v>
      </c>
      <c r="T23" s="35">
        <v>2.0</v>
      </c>
      <c r="U23" s="20">
        <v>2.0</v>
      </c>
      <c r="V23" s="18">
        <v>2.0</v>
      </c>
      <c r="W23" s="36" t="s">
        <v>5</v>
      </c>
      <c r="X23" s="20" t="s">
        <v>6</v>
      </c>
      <c r="Y23" s="22" t="s">
        <v>7</v>
      </c>
      <c r="Z23" s="22" t="s">
        <v>8</v>
      </c>
      <c r="AA23" s="22" t="s">
        <v>9</v>
      </c>
      <c r="AB23" s="19"/>
      <c r="AC23" s="34"/>
      <c r="AD23" s="15"/>
      <c r="AE23" s="15"/>
      <c r="AF23" s="15"/>
      <c r="AG23" s="20"/>
      <c r="AH23" s="15"/>
      <c r="AI23" s="20"/>
      <c r="AJ23" s="20"/>
      <c r="AK23" s="23"/>
      <c r="AL23" s="20"/>
      <c r="AM23" s="18"/>
      <c r="AN23" s="15"/>
      <c r="AO23" s="15"/>
      <c r="AP23" s="15"/>
      <c r="AQ23" s="20"/>
      <c r="AR23" s="20"/>
      <c r="AS23" s="24"/>
      <c r="AT23" s="15"/>
      <c r="AU23" s="15"/>
      <c r="AV23" s="15"/>
      <c r="AW23" s="15"/>
      <c r="AX23" s="15"/>
      <c r="AY23" s="24"/>
      <c r="AZ23" s="24"/>
      <c r="BA23" s="15"/>
      <c r="BB23" s="15"/>
      <c r="BC23" s="18"/>
      <c r="BD23" s="15"/>
      <c r="BE23" s="18"/>
      <c r="BF23" s="25"/>
      <c r="BG23" s="26"/>
      <c r="BH23" s="26"/>
      <c r="BI23" s="26"/>
      <c r="BJ23" s="26"/>
      <c r="BK23" s="27"/>
    </row>
    <row r="24">
      <c r="A24" s="15" t="s">
        <v>32</v>
      </c>
      <c r="B24" s="16">
        <f t="shared" si="2"/>
        <v>23</v>
      </c>
      <c r="C24" s="16">
        <v>2.0</v>
      </c>
      <c r="D24" s="15">
        <v>2.0</v>
      </c>
      <c r="E24" s="17">
        <v>1.0</v>
      </c>
      <c r="F24" s="16">
        <v>2.0</v>
      </c>
      <c r="G24" s="16">
        <v>1.0</v>
      </c>
      <c r="H24" s="16">
        <v>1.0</v>
      </c>
      <c r="I24" s="16">
        <v>-1.0</v>
      </c>
      <c r="J24" s="16">
        <v>-1.0</v>
      </c>
      <c r="K24" s="17">
        <v>2.0</v>
      </c>
      <c r="L24" s="18">
        <v>1.0</v>
      </c>
      <c r="M24" s="16">
        <v>-1.0</v>
      </c>
      <c r="N24" s="16">
        <v>2.0</v>
      </c>
      <c r="O24" s="16">
        <v>1.0</v>
      </c>
      <c r="P24" s="15">
        <v>1.0</v>
      </c>
      <c r="Q24" s="15">
        <v>1.0</v>
      </c>
      <c r="R24" s="15">
        <v>1.0</v>
      </c>
      <c r="S24" s="18">
        <v>2.0</v>
      </c>
      <c r="T24" s="35">
        <v>2.0</v>
      </c>
      <c r="U24" s="20">
        <v>2.0</v>
      </c>
      <c r="V24" s="18">
        <v>2.0</v>
      </c>
      <c r="W24" s="36" t="s">
        <v>5</v>
      </c>
      <c r="X24" s="21" t="s">
        <v>11</v>
      </c>
      <c r="Y24" s="22" t="s">
        <v>7</v>
      </c>
      <c r="Z24" s="22" t="s">
        <v>8</v>
      </c>
      <c r="AA24" s="35" t="s">
        <v>33</v>
      </c>
      <c r="AB24" s="19"/>
      <c r="AC24" s="34"/>
      <c r="AD24" s="15"/>
      <c r="AE24" s="15"/>
      <c r="AF24" s="31"/>
      <c r="AG24" s="31"/>
      <c r="AH24" s="31"/>
      <c r="AI24" s="15"/>
      <c r="AJ24" s="15"/>
      <c r="AK24" s="23"/>
      <c r="AL24" s="20"/>
      <c r="AM24" s="18"/>
      <c r="AN24" s="15"/>
      <c r="AO24" s="15"/>
      <c r="AP24" s="18"/>
      <c r="AQ24" s="20"/>
      <c r="AR24" s="20"/>
      <c r="AS24" s="24"/>
      <c r="AT24" s="15"/>
      <c r="AU24" s="15"/>
      <c r="AV24" s="15"/>
      <c r="AW24" s="15"/>
      <c r="AX24" s="15"/>
      <c r="AY24" s="24"/>
      <c r="AZ24" s="15"/>
      <c r="BA24" s="15"/>
      <c r="BB24" s="15"/>
      <c r="BC24" s="18"/>
      <c r="BD24" s="15"/>
      <c r="BE24" s="18"/>
      <c r="BF24" s="41"/>
      <c r="BG24" s="32"/>
      <c r="BH24" s="32"/>
      <c r="BI24" s="33"/>
      <c r="BJ24" s="26"/>
      <c r="BK24" s="27"/>
    </row>
    <row r="25">
      <c r="A25" s="44" t="s">
        <v>34</v>
      </c>
      <c r="B25" s="16">
        <f t="shared" si="2"/>
        <v>26</v>
      </c>
      <c r="C25" s="16">
        <v>2.0</v>
      </c>
      <c r="D25" s="15">
        <v>2.0</v>
      </c>
      <c r="E25" s="17">
        <v>1.0</v>
      </c>
      <c r="F25" s="16">
        <v>2.0</v>
      </c>
      <c r="G25" s="16">
        <v>1.0</v>
      </c>
      <c r="H25" s="16">
        <v>1.0</v>
      </c>
      <c r="I25" s="16">
        <v>2.0</v>
      </c>
      <c r="J25" s="16">
        <v>-1.0</v>
      </c>
      <c r="K25" s="17">
        <v>2.0</v>
      </c>
      <c r="L25" s="18">
        <v>1.0</v>
      </c>
      <c r="M25" s="16">
        <v>-1.0</v>
      </c>
      <c r="N25" s="16">
        <v>2.0</v>
      </c>
      <c r="O25" s="16">
        <v>1.0</v>
      </c>
      <c r="P25" s="15">
        <v>1.0</v>
      </c>
      <c r="Q25" s="15">
        <v>1.0</v>
      </c>
      <c r="R25" s="15">
        <v>1.0</v>
      </c>
      <c r="S25" s="18">
        <v>2.0</v>
      </c>
      <c r="T25" s="35">
        <v>2.0</v>
      </c>
      <c r="U25" s="20">
        <v>2.0</v>
      </c>
      <c r="V25" s="18">
        <v>2.0</v>
      </c>
      <c r="W25" s="36" t="s">
        <v>5</v>
      </c>
      <c r="X25" s="20"/>
      <c r="Y25" s="20"/>
      <c r="Z25" s="20"/>
      <c r="AA25" s="20"/>
      <c r="AB25" s="19"/>
      <c r="AC25" s="34"/>
      <c r="AD25" s="15"/>
      <c r="AE25" s="15"/>
      <c r="AF25" s="20"/>
      <c r="AG25" s="20"/>
      <c r="AH25" s="15"/>
      <c r="AI25" s="20"/>
      <c r="AJ25" s="20"/>
      <c r="AK25" s="19"/>
      <c r="AL25" s="20"/>
      <c r="AM25" s="18"/>
      <c r="AN25" s="15"/>
      <c r="AO25" s="15"/>
      <c r="AP25" s="15"/>
      <c r="AQ25" s="20"/>
      <c r="AR25" s="20"/>
      <c r="AS25" s="24"/>
      <c r="AT25" s="15"/>
      <c r="AU25" s="24"/>
      <c r="AV25" s="15"/>
      <c r="AW25" s="15"/>
      <c r="AX25" s="15"/>
      <c r="AY25" s="24"/>
      <c r="AZ25" s="24"/>
      <c r="BA25" s="15"/>
      <c r="BB25" s="15"/>
      <c r="BC25" s="15"/>
      <c r="BD25" s="15"/>
      <c r="BE25" s="18"/>
      <c r="BF25" s="41"/>
      <c r="BG25" s="26"/>
      <c r="BH25" s="26"/>
      <c r="BI25" s="26"/>
      <c r="BJ25" s="38"/>
      <c r="BK25" s="39"/>
    </row>
    <row r="26">
      <c r="A26" s="15" t="s">
        <v>35</v>
      </c>
      <c r="B26" s="16">
        <f t="shared" si="2"/>
        <v>26</v>
      </c>
      <c r="C26" s="16">
        <v>2.0</v>
      </c>
      <c r="D26" s="15">
        <v>2.0</v>
      </c>
      <c r="E26" s="17">
        <v>1.0</v>
      </c>
      <c r="F26" s="17">
        <v>-1.0</v>
      </c>
      <c r="G26" s="16">
        <v>1.0</v>
      </c>
      <c r="H26" s="16">
        <v>1.0</v>
      </c>
      <c r="I26" s="16">
        <v>2.0</v>
      </c>
      <c r="J26" s="16">
        <v>2.0</v>
      </c>
      <c r="K26" s="17">
        <v>2.0</v>
      </c>
      <c r="L26" s="18">
        <v>1.0</v>
      </c>
      <c r="M26" s="16">
        <v>-1.0</v>
      </c>
      <c r="N26" s="16">
        <v>2.0</v>
      </c>
      <c r="O26" s="16">
        <v>1.0</v>
      </c>
      <c r="P26" s="15">
        <v>1.0</v>
      </c>
      <c r="Q26" s="15">
        <v>1.0</v>
      </c>
      <c r="R26" s="15">
        <v>1.0</v>
      </c>
      <c r="S26" s="18">
        <v>2.0</v>
      </c>
      <c r="T26" s="35">
        <v>2.0</v>
      </c>
      <c r="U26" s="20">
        <v>2.0</v>
      </c>
      <c r="V26" s="18">
        <v>2.0</v>
      </c>
      <c r="W26" s="46" t="s">
        <v>5</v>
      </c>
      <c r="X26" s="40" t="s">
        <v>11</v>
      </c>
      <c r="Y26" s="22" t="s">
        <v>7</v>
      </c>
      <c r="Z26" s="22" t="s">
        <v>8</v>
      </c>
      <c r="AA26" s="22" t="s">
        <v>9</v>
      </c>
      <c r="AB26" s="19"/>
      <c r="AC26" s="34"/>
      <c r="AD26" s="15"/>
      <c r="AE26" s="15"/>
      <c r="AF26" s="15"/>
      <c r="AG26" s="20"/>
      <c r="AH26" s="15"/>
      <c r="AI26" s="20"/>
      <c r="AJ26" s="20"/>
      <c r="AK26" s="23"/>
      <c r="AL26" s="20"/>
      <c r="AM26" s="18"/>
      <c r="AN26" s="15"/>
      <c r="AO26" s="15"/>
      <c r="AP26" s="18"/>
      <c r="AQ26" s="20"/>
      <c r="AR26" s="20"/>
      <c r="AS26" s="24"/>
      <c r="AT26" s="15"/>
      <c r="AU26" s="15"/>
      <c r="AV26" s="15"/>
      <c r="AW26" s="15"/>
      <c r="AX26" s="15"/>
      <c r="AY26" s="24"/>
      <c r="AZ26" s="24"/>
      <c r="BA26" s="15"/>
      <c r="BB26" s="15"/>
      <c r="BC26" s="18"/>
      <c r="BD26" s="15"/>
      <c r="BE26" s="18"/>
      <c r="BF26" s="25"/>
      <c r="BG26" s="26"/>
      <c r="BH26" s="26"/>
      <c r="BI26" s="26"/>
      <c r="BJ26" s="26"/>
      <c r="BK26" s="27"/>
    </row>
    <row r="27">
      <c r="A27" s="15" t="s">
        <v>36</v>
      </c>
      <c r="B27" s="16">
        <f t="shared" si="2"/>
        <v>22</v>
      </c>
      <c r="C27" s="17"/>
      <c r="D27" s="15"/>
      <c r="E27" s="16"/>
      <c r="F27" s="31"/>
      <c r="G27" s="16">
        <v>1.0</v>
      </c>
      <c r="H27" s="16">
        <v>1.0</v>
      </c>
      <c r="I27" s="16">
        <v>2.0</v>
      </c>
      <c r="J27" s="16">
        <v>2.0</v>
      </c>
      <c r="K27" s="17">
        <v>2.0</v>
      </c>
      <c r="L27" s="18">
        <v>1.0</v>
      </c>
      <c r="M27" s="16">
        <v>-1.0</v>
      </c>
      <c r="N27" s="16">
        <v>2.0</v>
      </c>
      <c r="O27" s="16">
        <v>1.0</v>
      </c>
      <c r="P27" s="15">
        <v>1.0</v>
      </c>
      <c r="Q27" s="15">
        <v>1.0</v>
      </c>
      <c r="R27" s="15">
        <v>1.0</v>
      </c>
      <c r="S27" s="18">
        <v>2.0</v>
      </c>
      <c r="T27" s="35">
        <v>2.0</v>
      </c>
      <c r="U27" s="20">
        <v>2.0</v>
      </c>
      <c r="V27" s="18">
        <v>2.0</v>
      </c>
      <c r="W27" s="36" t="s">
        <v>5</v>
      </c>
      <c r="X27" s="20" t="s">
        <v>6</v>
      </c>
      <c r="Y27" s="22" t="s">
        <v>7</v>
      </c>
      <c r="Z27" s="22" t="s">
        <v>8</v>
      </c>
      <c r="AA27" s="22" t="s">
        <v>9</v>
      </c>
      <c r="AB27" s="19"/>
      <c r="AC27" s="15"/>
      <c r="AD27" s="15"/>
      <c r="AE27" s="15"/>
      <c r="AF27" s="15"/>
      <c r="AG27" s="20"/>
      <c r="AH27" s="15"/>
      <c r="AI27" s="15"/>
      <c r="AJ27" s="20"/>
      <c r="AK27" s="19"/>
      <c r="AL27" s="20"/>
      <c r="AM27" s="18"/>
      <c r="AN27" s="15"/>
      <c r="AO27" s="15"/>
      <c r="AP27" s="15"/>
      <c r="AQ27" s="20"/>
      <c r="AR27" s="20"/>
      <c r="AS27" s="24"/>
      <c r="AT27" s="15"/>
      <c r="AU27" s="15"/>
      <c r="AV27" s="15"/>
      <c r="AW27" s="15"/>
      <c r="AX27" s="15"/>
      <c r="AY27" s="24"/>
      <c r="AZ27" s="24"/>
      <c r="BA27" s="15"/>
      <c r="BB27" s="15"/>
      <c r="BC27" s="15"/>
      <c r="BD27" s="15"/>
      <c r="BE27" s="18"/>
      <c r="BF27" s="41"/>
      <c r="BG27" s="26"/>
      <c r="BH27" s="32"/>
      <c r="BI27" s="26"/>
      <c r="BJ27" s="38"/>
      <c r="BK27" s="39"/>
    </row>
    <row r="28">
      <c r="A28" s="15" t="s">
        <v>37</v>
      </c>
      <c r="B28" s="16">
        <f t="shared" si="2"/>
        <v>19</v>
      </c>
      <c r="C28" s="37"/>
      <c r="D28" s="15"/>
      <c r="E28" s="17">
        <v>1.0</v>
      </c>
      <c r="F28" s="16">
        <v>2.0</v>
      </c>
      <c r="G28" s="16">
        <v>1.0</v>
      </c>
      <c r="H28" s="16">
        <v>1.0</v>
      </c>
      <c r="I28" s="16">
        <v>2.0</v>
      </c>
      <c r="J28" s="16">
        <v>-1.0</v>
      </c>
      <c r="K28" s="17">
        <v>2.0</v>
      </c>
      <c r="L28" s="18">
        <v>1.0</v>
      </c>
      <c r="M28" s="16">
        <v>-1.0</v>
      </c>
      <c r="N28" s="16">
        <v>2.0</v>
      </c>
      <c r="O28" s="16">
        <v>1.0</v>
      </c>
      <c r="P28" s="15">
        <v>1.0</v>
      </c>
      <c r="Q28" s="15">
        <v>1.0</v>
      </c>
      <c r="R28" s="15">
        <v>1.0</v>
      </c>
      <c r="S28" s="18">
        <v>2.0</v>
      </c>
      <c r="T28" s="35">
        <v>-1.0</v>
      </c>
      <c r="U28" s="20">
        <v>2.0</v>
      </c>
      <c r="V28" s="18">
        <v>2.0</v>
      </c>
      <c r="W28" s="36" t="s">
        <v>5</v>
      </c>
      <c r="X28" s="21" t="s">
        <v>11</v>
      </c>
      <c r="Y28" s="22" t="s">
        <v>7</v>
      </c>
      <c r="Z28" s="22" t="s">
        <v>8</v>
      </c>
      <c r="AA28" s="22" t="s">
        <v>9</v>
      </c>
      <c r="AB28" s="19"/>
      <c r="AC28" s="34"/>
      <c r="AD28" s="15"/>
      <c r="AE28" s="15"/>
      <c r="AF28" s="20"/>
      <c r="AG28" s="20"/>
      <c r="AH28" s="15"/>
      <c r="AI28" s="20"/>
      <c r="AJ28" s="20"/>
      <c r="AK28" s="23"/>
      <c r="AL28" s="20"/>
      <c r="AM28" s="18"/>
      <c r="AN28" s="15"/>
      <c r="AO28" s="15"/>
      <c r="AP28" s="15"/>
      <c r="AQ28" s="20"/>
      <c r="AR28" s="20"/>
      <c r="AS28" s="24"/>
      <c r="AT28" s="15"/>
      <c r="AU28" s="15"/>
      <c r="AV28" s="15"/>
      <c r="AW28" s="15"/>
      <c r="AX28" s="15"/>
      <c r="AY28" s="24"/>
      <c r="AZ28" s="24"/>
      <c r="BA28" s="15"/>
      <c r="BB28" s="15"/>
      <c r="BC28" s="15"/>
      <c r="BD28" s="15"/>
      <c r="BE28" s="18"/>
      <c r="BF28" s="25"/>
      <c r="BG28" s="26"/>
      <c r="BH28" s="26"/>
      <c r="BI28" s="26"/>
      <c r="BJ28" s="26"/>
      <c r="BK28" s="27"/>
    </row>
    <row r="29">
      <c r="A29" s="15" t="s">
        <v>38</v>
      </c>
      <c r="B29" s="16">
        <f t="shared" si="2"/>
        <v>22</v>
      </c>
      <c r="C29" s="16"/>
      <c r="D29" s="15"/>
      <c r="E29" s="17">
        <v>1.0</v>
      </c>
      <c r="F29" s="16">
        <v>2.0</v>
      </c>
      <c r="G29" s="16">
        <v>1.0</v>
      </c>
      <c r="H29" s="16">
        <v>1.0</v>
      </c>
      <c r="I29" s="16">
        <v>2.0</v>
      </c>
      <c r="J29" s="16">
        <v>-1.0</v>
      </c>
      <c r="K29" s="17">
        <v>2.0</v>
      </c>
      <c r="L29" s="18">
        <v>1.0</v>
      </c>
      <c r="M29" s="16">
        <v>-1.0</v>
      </c>
      <c r="N29" s="16">
        <v>2.0</v>
      </c>
      <c r="O29" s="16">
        <v>1.0</v>
      </c>
      <c r="P29" s="15">
        <v>1.0</v>
      </c>
      <c r="Q29" s="15">
        <v>1.0</v>
      </c>
      <c r="R29" s="15">
        <v>1.0</v>
      </c>
      <c r="S29" s="18">
        <v>2.0</v>
      </c>
      <c r="T29" s="35">
        <v>2.0</v>
      </c>
      <c r="U29" s="20">
        <v>2.0</v>
      </c>
      <c r="V29" s="18">
        <v>2.0</v>
      </c>
      <c r="W29" s="36" t="s">
        <v>5</v>
      </c>
      <c r="X29" s="21" t="s">
        <v>11</v>
      </c>
      <c r="Y29" s="22" t="s">
        <v>7</v>
      </c>
      <c r="Z29" s="22" t="s">
        <v>8</v>
      </c>
      <c r="AA29" s="35" t="s">
        <v>33</v>
      </c>
      <c r="AB29" s="19"/>
      <c r="AC29" s="34"/>
      <c r="AD29" s="15"/>
      <c r="AE29" s="31"/>
      <c r="AF29" s="31"/>
      <c r="AG29" s="31"/>
      <c r="AH29" s="31"/>
      <c r="AI29" s="20"/>
      <c r="AJ29" s="20"/>
      <c r="AK29" s="19"/>
      <c r="AL29" s="20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24"/>
      <c r="AZ29" s="24"/>
      <c r="BA29" s="31"/>
      <c r="BB29" s="31"/>
      <c r="BC29" s="31"/>
      <c r="BD29" s="31"/>
      <c r="BE29" s="18"/>
      <c r="BF29" s="25"/>
      <c r="BG29" s="26"/>
      <c r="BH29" s="26"/>
      <c r="BI29" s="26"/>
      <c r="BJ29" s="26"/>
      <c r="BK29" s="27"/>
    </row>
    <row r="30">
      <c r="A30" s="44" t="s">
        <v>39</v>
      </c>
      <c r="B30" s="16">
        <f t="shared" si="2"/>
        <v>8</v>
      </c>
      <c r="C30" s="16"/>
      <c r="D30" s="15"/>
      <c r="E30" s="17">
        <v>1.0</v>
      </c>
      <c r="F30" s="16">
        <v>2.0</v>
      </c>
      <c r="G30" s="16">
        <v>1.0</v>
      </c>
      <c r="H30" s="16">
        <v>1.0</v>
      </c>
      <c r="I30" s="16"/>
      <c r="J30" s="16"/>
      <c r="K30" s="17"/>
      <c r="L30" s="19"/>
      <c r="M30" s="16"/>
      <c r="N30" s="23"/>
      <c r="O30" s="16"/>
      <c r="P30" s="15">
        <v>1.0</v>
      </c>
      <c r="Q30" s="15">
        <v>1.0</v>
      </c>
      <c r="R30" s="15">
        <v>1.0</v>
      </c>
      <c r="S30" s="15"/>
      <c r="T30" s="35"/>
      <c r="U30" s="20"/>
      <c r="V30" s="15"/>
      <c r="W30" s="20"/>
      <c r="X30" s="20"/>
      <c r="Y30" s="20"/>
      <c r="Z30" s="20"/>
      <c r="AA30" s="20"/>
      <c r="AB30" s="19"/>
      <c r="AC30" s="34"/>
      <c r="AD30" s="15"/>
      <c r="AE30" s="15"/>
      <c r="AF30" s="15"/>
      <c r="AG30" s="20"/>
      <c r="AH30" s="15"/>
      <c r="AI30" s="20"/>
      <c r="AJ30" s="20"/>
      <c r="AK30" s="23"/>
      <c r="AL30" s="20"/>
      <c r="AM30" s="18"/>
      <c r="AN30" s="15"/>
      <c r="AO30" s="15"/>
      <c r="AP30" s="18"/>
      <c r="AQ30" s="20"/>
      <c r="AR30" s="20"/>
      <c r="AS30" s="24"/>
      <c r="AT30" s="15"/>
      <c r="AU30" s="15"/>
      <c r="AV30" s="15"/>
      <c r="AW30" s="15"/>
      <c r="AX30" s="15"/>
      <c r="AY30" s="24"/>
      <c r="AZ30" s="24"/>
      <c r="BA30" s="15"/>
      <c r="BB30" s="15"/>
      <c r="BC30" s="15"/>
      <c r="BD30" s="15"/>
      <c r="BE30" s="18"/>
      <c r="BF30" s="25"/>
      <c r="BG30" s="26"/>
      <c r="BH30" s="26"/>
      <c r="BI30" s="26"/>
      <c r="BJ30" s="38"/>
      <c r="BK30" s="39"/>
    </row>
    <row r="31">
      <c r="A31" s="15" t="s">
        <v>40</v>
      </c>
      <c r="B31" s="16">
        <f t="shared" si="2"/>
        <v>16</v>
      </c>
      <c r="C31" s="16">
        <v>2.0</v>
      </c>
      <c r="D31" s="15">
        <v>2.0</v>
      </c>
      <c r="E31" s="17">
        <v>1.0</v>
      </c>
      <c r="F31" s="16">
        <v>2.0</v>
      </c>
      <c r="G31" s="16"/>
      <c r="H31" s="47"/>
      <c r="I31" s="16">
        <v>2.0</v>
      </c>
      <c r="J31" s="16">
        <v>-1.0</v>
      </c>
      <c r="K31" s="17">
        <v>2.0</v>
      </c>
      <c r="L31" s="18">
        <v>1.0</v>
      </c>
      <c r="M31" s="47">
        <v>-1.0</v>
      </c>
      <c r="N31" s="16">
        <v>2.0</v>
      </c>
      <c r="O31" s="16">
        <v>1.0</v>
      </c>
      <c r="P31" s="15">
        <v>1.0</v>
      </c>
      <c r="Q31" s="15">
        <v>1.0</v>
      </c>
      <c r="R31" s="15">
        <v>1.0</v>
      </c>
      <c r="S31" s="23"/>
      <c r="T31" s="35"/>
      <c r="U31" s="35"/>
      <c r="V31" s="46"/>
      <c r="W31" s="35"/>
      <c r="X31" s="20"/>
      <c r="Y31" s="20"/>
      <c r="Z31" s="20"/>
      <c r="AA31" s="20"/>
      <c r="AB31" s="19"/>
      <c r="AC31" s="15"/>
      <c r="AD31" s="15"/>
      <c r="AE31" s="15"/>
      <c r="AF31" s="20"/>
      <c r="AG31" s="20"/>
      <c r="AH31" s="15"/>
      <c r="AI31" s="15"/>
      <c r="AJ31" s="20"/>
      <c r="AK31" s="23"/>
      <c r="AL31" s="20"/>
      <c r="AM31" s="18"/>
      <c r="AN31" s="15"/>
      <c r="AO31" s="15"/>
      <c r="AP31" s="15"/>
      <c r="AQ31" s="20"/>
      <c r="AR31" s="20"/>
      <c r="AS31" s="24"/>
      <c r="AT31" s="15"/>
      <c r="AU31" s="15"/>
      <c r="AV31" s="15"/>
      <c r="AW31" s="15"/>
      <c r="AX31" s="15"/>
      <c r="AY31" s="24"/>
      <c r="AZ31" s="24"/>
      <c r="BA31" s="15"/>
      <c r="BB31" s="15"/>
      <c r="BC31" s="18"/>
      <c r="BD31" s="15"/>
      <c r="BE31" s="15"/>
      <c r="BF31" s="25"/>
      <c r="BG31" s="26"/>
      <c r="BH31" s="26"/>
      <c r="BI31" s="26"/>
      <c r="BJ31" s="26"/>
      <c r="BK31" s="27"/>
    </row>
    <row r="32">
      <c r="A32" s="15" t="s">
        <v>41</v>
      </c>
      <c r="B32" s="16">
        <f t="shared" si="2"/>
        <v>25</v>
      </c>
      <c r="C32" s="37"/>
      <c r="D32" s="31"/>
      <c r="E32" s="17">
        <v>1.0</v>
      </c>
      <c r="F32" s="17">
        <v>-1.0</v>
      </c>
      <c r="G32" s="16">
        <v>1.0</v>
      </c>
      <c r="H32" s="16">
        <v>1.0</v>
      </c>
      <c r="I32" s="16">
        <v>2.0</v>
      </c>
      <c r="J32" s="16">
        <v>2.0</v>
      </c>
      <c r="K32" s="17">
        <v>2.0</v>
      </c>
      <c r="L32" s="18">
        <v>1.0</v>
      </c>
      <c r="M32" s="19">
        <v>2.0</v>
      </c>
      <c r="N32" s="16">
        <v>2.0</v>
      </c>
      <c r="O32" s="16">
        <v>1.0</v>
      </c>
      <c r="P32" s="15">
        <v>1.0</v>
      </c>
      <c r="Q32" s="15">
        <v>1.0</v>
      </c>
      <c r="R32" s="15">
        <v>1.0</v>
      </c>
      <c r="S32" s="18">
        <v>2.0</v>
      </c>
      <c r="T32" s="20">
        <v>2.0</v>
      </c>
      <c r="U32" s="20">
        <v>2.0</v>
      </c>
      <c r="V32" s="18">
        <v>2.0</v>
      </c>
      <c r="W32" s="28" t="s">
        <v>5</v>
      </c>
      <c r="X32" s="20"/>
      <c r="Y32" s="20"/>
      <c r="Z32" s="20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43"/>
      <c r="BG32" s="45"/>
      <c r="BH32" s="45"/>
      <c r="BI32" s="45"/>
      <c r="BJ32" s="45"/>
    </row>
    <row r="33">
      <c r="A33" s="15" t="s">
        <v>42</v>
      </c>
      <c r="B33" s="16">
        <f t="shared" si="2"/>
        <v>19</v>
      </c>
      <c r="C33" s="37"/>
      <c r="D33" s="31"/>
      <c r="E33" s="17">
        <v>1.0</v>
      </c>
      <c r="F33" s="17">
        <v>-1.0</v>
      </c>
      <c r="G33" s="16"/>
      <c r="H33" s="16"/>
      <c r="I33" s="16"/>
      <c r="J33" s="16"/>
      <c r="K33" s="17">
        <v>2.0</v>
      </c>
      <c r="L33" s="18">
        <v>1.0</v>
      </c>
      <c r="M33" s="19">
        <v>2.0</v>
      </c>
      <c r="N33" s="16">
        <v>2.0</v>
      </c>
      <c r="O33" s="16">
        <v>1.0</v>
      </c>
      <c r="P33" s="15">
        <v>1.0</v>
      </c>
      <c r="Q33" s="15">
        <v>1.0</v>
      </c>
      <c r="R33" s="15">
        <v>1.0</v>
      </c>
      <c r="S33" s="18">
        <v>2.0</v>
      </c>
      <c r="T33" s="35">
        <v>2.0</v>
      </c>
      <c r="U33" s="35">
        <v>2.0</v>
      </c>
      <c r="V33" s="48">
        <v>2.0</v>
      </c>
      <c r="W33" s="36" t="s">
        <v>5</v>
      </c>
      <c r="X33" s="21" t="s">
        <v>11</v>
      </c>
      <c r="Y33" s="35" t="s">
        <v>43</v>
      </c>
      <c r="Z33" s="22" t="s">
        <v>8</v>
      </c>
      <c r="AA33" s="22" t="s">
        <v>9</v>
      </c>
      <c r="AB33" s="19"/>
      <c r="AC33" s="34"/>
      <c r="AD33" s="15"/>
      <c r="AE33" s="15"/>
      <c r="AF33" s="20"/>
      <c r="AG33" s="20"/>
      <c r="AH33" s="15"/>
      <c r="AI33" s="20"/>
      <c r="AJ33" s="20"/>
      <c r="AK33" s="19"/>
      <c r="AL33" s="20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24"/>
      <c r="AZ33" s="24"/>
      <c r="BA33" s="31"/>
      <c r="BB33" s="31"/>
      <c r="BC33" s="15"/>
      <c r="BD33" s="15"/>
      <c r="BE33" s="18"/>
      <c r="BF33" s="25"/>
      <c r="BG33" s="26"/>
      <c r="BH33" s="26"/>
      <c r="BI33" s="26"/>
      <c r="BJ33" s="26"/>
      <c r="BK33" s="27"/>
    </row>
    <row r="34">
      <c r="A34" s="15"/>
      <c r="B34" s="49"/>
      <c r="C34" s="16"/>
      <c r="D34" s="15"/>
      <c r="E34" s="23"/>
      <c r="F34" s="16"/>
      <c r="G34" s="16"/>
      <c r="H34" s="16"/>
      <c r="I34" s="16"/>
      <c r="J34" s="16"/>
      <c r="K34" s="15"/>
      <c r="L34" s="19"/>
      <c r="M34" s="23"/>
      <c r="O34" s="15"/>
      <c r="P34" s="15"/>
      <c r="Q34" s="15"/>
      <c r="R34" s="15"/>
      <c r="S34" s="23"/>
      <c r="T34" s="20"/>
      <c r="U34" s="20"/>
      <c r="V34" s="15"/>
      <c r="W34" s="20"/>
      <c r="X34" s="20"/>
      <c r="Y34" s="20"/>
      <c r="Z34" s="20"/>
      <c r="AA34" s="20"/>
      <c r="AB34" s="19"/>
      <c r="AC34" s="34"/>
      <c r="AD34" s="15"/>
      <c r="AE34" s="15"/>
      <c r="AF34" s="31"/>
      <c r="AG34" s="31"/>
      <c r="AH34" s="31"/>
      <c r="AI34" s="20"/>
      <c r="AJ34" s="20"/>
      <c r="AK34" s="23"/>
      <c r="AL34" s="20"/>
      <c r="AM34" s="18"/>
      <c r="AN34" s="15"/>
      <c r="AO34" s="15"/>
      <c r="AP34" s="15"/>
      <c r="AQ34" s="20"/>
      <c r="AR34" s="20"/>
      <c r="AS34" s="24"/>
      <c r="AT34" s="15"/>
      <c r="AU34" s="15"/>
      <c r="AV34" s="15"/>
      <c r="AW34" s="15"/>
      <c r="AX34" s="15"/>
      <c r="AY34" s="24"/>
      <c r="AZ34" s="24"/>
      <c r="BA34" s="15"/>
      <c r="BB34" s="15"/>
      <c r="BC34" s="15"/>
      <c r="BD34" s="15"/>
      <c r="BE34" s="18"/>
      <c r="BF34" s="25"/>
      <c r="BG34" s="26"/>
      <c r="BH34" s="26"/>
      <c r="BI34" s="26"/>
      <c r="BJ34" s="26"/>
      <c r="BK34" s="27"/>
    </row>
    <row r="35">
      <c r="A35" s="44"/>
      <c r="B35" s="40"/>
      <c r="C35" s="20"/>
      <c r="D35" s="15"/>
      <c r="E35" s="23"/>
      <c r="F35" s="20"/>
      <c r="G35" s="20"/>
      <c r="H35" s="20"/>
      <c r="I35" s="20"/>
      <c r="J35" s="20"/>
      <c r="K35" s="15"/>
      <c r="L35" s="19"/>
      <c r="M35" s="20"/>
      <c r="N35" s="23"/>
      <c r="O35" s="15"/>
      <c r="P35" s="15"/>
      <c r="Q35" s="15"/>
      <c r="R35" s="19"/>
      <c r="S35" s="23"/>
      <c r="T35" s="20"/>
      <c r="U35" s="20"/>
      <c r="V35" s="15"/>
      <c r="W35" s="20"/>
      <c r="X35" s="20"/>
      <c r="Y35" s="20"/>
      <c r="Z35" s="20"/>
      <c r="AA35" s="20"/>
      <c r="AB35" s="19"/>
      <c r="AC35" s="34"/>
      <c r="AD35" s="15"/>
      <c r="AE35" s="15"/>
      <c r="AF35" s="20"/>
      <c r="AG35" s="20"/>
      <c r="AH35" s="15"/>
      <c r="AI35" s="20"/>
      <c r="AJ35" s="20"/>
      <c r="AK35" s="23"/>
      <c r="AL35" s="20"/>
      <c r="AM35" s="18"/>
      <c r="AN35" s="15"/>
      <c r="AO35" s="15"/>
      <c r="AP35" s="15"/>
      <c r="AQ35" s="20"/>
      <c r="AR35" s="20"/>
      <c r="AS35" s="24"/>
      <c r="AT35" s="15"/>
      <c r="AU35" s="15"/>
      <c r="AV35" s="15"/>
      <c r="AW35" s="15"/>
      <c r="AX35" s="15"/>
      <c r="AY35" s="24"/>
      <c r="AZ35" s="24"/>
      <c r="BA35" s="15"/>
      <c r="BB35" s="15"/>
      <c r="BC35" s="18"/>
      <c r="BD35" s="15"/>
      <c r="BE35" s="18"/>
      <c r="BF35" s="25"/>
      <c r="BG35" s="26"/>
      <c r="BH35" s="26"/>
      <c r="BI35" s="26"/>
      <c r="BJ35" s="26"/>
      <c r="BK35" s="27"/>
    </row>
    <row r="36">
      <c r="A36" s="15"/>
      <c r="B36" s="40"/>
      <c r="C36" s="17"/>
      <c r="D36" s="15"/>
      <c r="E36" s="23"/>
      <c r="F36" s="20"/>
      <c r="G36" s="20"/>
      <c r="H36" s="20"/>
      <c r="I36" s="20"/>
      <c r="J36" s="20"/>
      <c r="K36" s="15"/>
      <c r="L36" s="19"/>
      <c r="M36" s="20"/>
      <c r="N36" s="23"/>
      <c r="O36" s="20"/>
      <c r="P36" s="15"/>
      <c r="Q36" s="15"/>
      <c r="R36" s="19"/>
      <c r="S36" s="15"/>
      <c r="T36" s="20"/>
      <c r="U36" s="20"/>
      <c r="V36" s="15"/>
      <c r="W36" s="20"/>
      <c r="X36" s="20"/>
      <c r="Y36" s="20"/>
      <c r="Z36" s="20"/>
      <c r="AA36" s="20"/>
      <c r="AB36" s="19"/>
      <c r="AC36" s="34"/>
      <c r="AD36" s="15"/>
      <c r="AE36" s="15"/>
      <c r="AF36" s="20"/>
      <c r="AG36" s="20"/>
      <c r="AH36" s="15"/>
      <c r="AI36" s="20"/>
      <c r="AJ36" s="20"/>
      <c r="AK36" s="23"/>
      <c r="AL36" s="20"/>
      <c r="AM36" s="18"/>
      <c r="AN36" s="15"/>
      <c r="AO36" s="15"/>
      <c r="AP36" s="15"/>
      <c r="AQ36" s="20"/>
      <c r="AR36" s="20"/>
      <c r="AS36" s="24"/>
      <c r="AT36" s="15"/>
      <c r="AU36" s="15"/>
      <c r="AV36" s="15"/>
      <c r="AW36" s="15"/>
      <c r="AX36" s="15"/>
      <c r="AY36" s="24"/>
      <c r="AZ36" s="24"/>
      <c r="BA36" s="15"/>
      <c r="BB36" s="15"/>
      <c r="BC36" s="18"/>
      <c r="BD36" s="15"/>
      <c r="BE36" s="18"/>
      <c r="BF36" s="25"/>
      <c r="BG36" s="26"/>
      <c r="BH36" s="26"/>
      <c r="BI36" s="26"/>
      <c r="BJ36" s="26"/>
      <c r="BK36" s="27"/>
    </row>
    <row r="37">
      <c r="A37" s="15"/>
      <c r="B37" s="40"/>
      <c r="C37" s="37"/>
      <c r="D37" s="15"/>
      <c r="E37" s="20"/>
      <c r="F37" s="20"/>
      <c r="G37" s="15"/>
      <c r="H37" s="20"/>
      <c r="I37" s="20"/>
      <c r="J37" s="20"/>
      <c r="K37" s="15"/>
      <c r="L37" s="15"/>
      <c r="M37" s="19"/>
      <c r="N37" s="15"/>
      <c r="O37" s="20"/>
      <c r="P37" s="15"/>
      <c r="Q37" s="15"/>
      <c r="R37" s="15"/>
      <c r="S37" s="15"/>
      <c r="T37" s="15"/>
      <c r="U37" s="20"/>
      <c r="V37" s="15"/>
      <c r="W37" s="20"/>
      <c r="X37" s="20"/>
      <c r="Y37" s="15"/>
      <c r="Z37" s="15"/>
      <c r="AA37" s="15"/>
      <c r="AB37" s="15"/>
      <c r="AC37" s="15"/>
      <c r="AD37" s="15"/>
      <c r="AE37" s="15"/>
      <c r="AF37" s="31"/>
      <c r="AG37" s="31"/>
      <c r="AH37" s="31"/>
      <c r="AI37" s="15"/>
      <c r="AJ37" s="15"/>
      <c r="AK37" s="19"/>
      <c r="AL37" s="15"/>
      <c r="AM37" s="15"/>
      <c r="AN37" s="15"/>
      <c r="AO37" s="15"/>
      <c r="AP37" s="18"/>
      <c r="AQ37" s="20"/>
      <c r="AR37" s="20"/>
      <c r="AS37" s="15"/>
      <c r="AT37" s="15"/>
      <c r="AU37" s="31"/>
      <c r="AV37" s="31"/>
      <c r="AW37" s="31"/>
      <c r="AX37" s="31"/>
      <c r="AY37" s="31"/>
      <c r="AZ37" s="31"/>
      <c r="BA37" s="15"/>
      <c r="BB37" s="15"/>
      <c r="BC37" s="31"/>
      <c r="BD37" s="31"/>
      <c r="BE37" s="31"/>
      <c r="BF37" s="43"/>
      <c r="BG37" s="45"/>
      <c r="BH37" s="45"/>
      <c r="BI37" s="45"/>
      <c r="BJ37" s="45"/>
    </row>
    <row r="38">
      <c r="A38" s="15"/>
      <c r="B38" s="40"/>
      <c r="C38" s="37"/>
      <c r="D38" s="15"/>
      <c r="E38" s="23"/>
      <c r="F38" s="20"/>
      <c r="G38" s="20"/>
      <c r="H38" s="20"/>
      <c r="I38" s="20"/>
      <c r="J38" s="20"/>
      <c r="K38" s="15"/>
      <c r="L38" s="31"/>
      <c r="M38" s="20"/>
      <c r="N38" s="23"/>
      <c r="O38" s="20"/>
      <c r="P38" s="15"/>
      <c r="Q38" s="15"/>
      <c r="R38" s="19"/>
      <c r="S38" s="23"/>
      <c r="T38" s="20"/>
      <c r="U38" s="20"/>
      <c r="V38" s="15"/>
      <c r="W38" s="20"/>
      <c r="X38" s="20"/>
      <c r="Y38" s="20"/>
      <c r="Z38" s="20"/>
      <c r="AA38" s="31"/>
      <c r="AB38" s="31"/>
      <c r="AC38" s="31"/>
      <c r="AD38" s="31"/>
      <c r="AE38" s="15"/>
      <c r="AF38" s="20"/>
      <c r="AG38" s="20"/>
      <c r="AH38" s="15"/>
      <c r="AI38" s="20"/>
      <c r="AJ38" s="20"/>
      <c r="AK38" s="19"/>
      <c r="AL38" s="20"/>
      <c r="AM38" s="18"/>
      <c r="AN38" s="15"/>
      <c r="AO38" s="15"/>
      <c r="AP38" s="15"/>
      <c r="AQ38" s="20"/>
      <c r="AR38" s="20"/>
      <c r="AS38" s="24"/>
      <c r="AT38" s="15"/>
      <c r="AU38" s="15"/>
      <c r="AV38" s="15"/>
      <c r="AW38" s="15"/>
      <c r="AX38" s="15"/>
      <c r="AY38" s="24"/>
      <c r="AZ38" s="24"/>
      <c r="BA38" s="15"/>
      <c r="BB38" s="15"/>
      <c r="BC38" s="15"/>
      <c r="BD38" s="15"/>
      <c r="BE38" s="18"/>
      <c r="BF38" s="25"/>
      <c r="BG38" s="26"/>
      <c r="BH38" s="26"/>
      <c r="BI38" s="26"/>
      <c r="BJ38" s="26"/>
      <c r="BK38" s="27"/>
    </row>
    <row r="39">
      <c r="A39" s="15"/>
      <c r="B39" s="40"/>
      <c r="C39" s="20"/>
      <c r="D39" s="15"/>
      <c r="E39" s="23"/>
      <c r="F39" s="20"/>
      <c r="G39" s="20"/>
      <c r="H39" s="20"/>
      <c r="I39" s="20"/>
      <c r="J39" s="20"/>
      <c r="K39" s="15"/>
      <c r="L39" s="19"/>
      <c r="M39" s="20"/>
      <c r="N39" s="23"/>
      <c r="O39" s="20"/>
      <c r="P39" s="15"/>
      <c r="Q39" s="15"/>
      <c r="R39" s="19"/>
      <c r="S39" s="23"/>
      <c r="T39" s="20"/>
      <c r="U39" s="20"/>
      <c r="V39" s="15"/>
      <c r="W39" s="20"/>
      <c r="X39" s="20"/>
      <c r="Y39" s="20"/>
      <c r="Z39" s="20"/>
      <c r="AA39" s="20"/>
      <c r="AB39" s="19"/>
      <c r="AC39" s="34"/>
      <c r="AD39" s="15"/>
      <c r="AE39" s="15"/>
      <c r="AF39" s="15"/>
      <c r="AG39" s="20"/>
      <c r="AH39" s="15"/>
      <c r="AI39" s="20"/>
      <c r="AJ39" s="20"/>
      <c r="AK39" s="19"/>
      <c r="AL39" s="20"/>
      <c r="AM39" s="18"/>
      <c r="AN39" s="15"/>
      <c r="AO39" s="15"/>
      <c r="AP39" s="15"/>
      <c r="AQ39" s="20"/>
      <c r="AR39" s="20"/>
      <c r="AS39" s="24"/>
      <c r="AT39" s="15"/>
      <c r="AU39" s="15"/>
      <c r="AV39" s="15"/>
      <c r="AW39" s="15"/>
      <c r="AX39" s="15"/>
      <c r="AY39" s="24"/>
      <c r="AZ39" s="24"/>
      <c r="BA39" s="15"/>
      <c r="BB39" s="15"/>
      <c r="BC39" s="15"/>
      <c r="BD39" s="15"/>
      <c r="BE39" s="18"/>
      <c r="BF39" s="25"/>
      <c r="BG39" s="26"/>
      <c r="BH39" s="26"/>
      <c r="BI39" s="26"/>
      <c r="BJ39" s="26"/>
      <c r="BK39" s="27"/>
    </row>
    <row r="40">
      <c r="A40" s="15"/>
      <c r="B40" s="40"/>
      <c r="C40" s="20"/>
      <c r="D40" s="15"/>
      <c r="E40" s="23"/>
      <c r="F40" s="20"/>
      <c r="G40" s="20"/>
      <c r="H40" s="20"/>
      <c r="I40" s="20"/>
      <c r="J40" s="20"/>
      <c r="K40" s="15"/>
      <c r="L40" s="19"/>
      <c r="M40" s="20"/>
      <c r="N40" s="23"/>
      <c r="O40" s="20"/>
      <c r="P40" s="15"/>
      <c r="Q40" s="15"/>
      <c r="R40" s="19"/>
      <c r="S40" s="23"/>
      <c r="T40" s="20"/>
      <c r="U40" s="20"/>
      <c r="V40" s="15"/>
      <c r="W40" s="20"/>
      <c r="X40" s="20"/>
      <c r="Y40" s="20"/>
      <c r="Z40" s="20"/>
      <c r="AA40" s="20"/>
      <c r="AB40" s="19"/>
      <c r="AC40" s="34"/>
      <c r="AD40" s="15"/>
      <c r="AE40" s="15"/>
      <c r="AF40" s="20"/>
      <c r="AG40" s="20"/>
      <c r="AH40" s="15"/>
      <c r="AI40" s="20"/>
      <c r="AJ40" s="20"/>
      <c r="AK40" s="23"/>
      <c r="AL40" s="20"/>
      <c r="AM40" s="18"/>
      <c r="AN40" s="15"/>
      <c r="AO40" s="15"/>
      <c r="AP40" s="15"/>
      <c r="AQ40" s="20"/>
      <c r="AR40" s="20"/>
      <c r="AS40" s="24"/>
      <c r="AT40" s="15"/>
      <c r="AU40" s="15"/>
      <c r="AV40" s="15"/>
      <c r="AW40" s="15"/>
      <c r="AX40" s="15"/>
      <c r="AY40" s="24"/>
      <c r="AZ40" s="24"/>
      <c r="BA40" s="15"/>
      <c r="BB40" s="15"/>
      <c r="BC40" s="15"/>
      <c r="BD40" s="15"/>
      <c r="BE40" s="18"/>
      <c r="BF40" s="25"/>
      <c r="BG40" s="26"/>
      <c r="BH40" s="26"/>
      <c r="BI40" s="26"/>
      <c r="BJ40" s="26"/>
      <c r="BK40" s="27"/>
    </row>
    <row r="41">
      <c r="A41" s="15"/>
      <c r="B41" s="40"/>
      <c r="C41" s="17"/>
      <c r="D41" s="15"/>
      <c r="E41" s="23"/>
      <c r="F41" s="20"/>
      <c r="G41" s="15"/>
      <c r="H41" s="20"/>
      <c r="I41" s="20"/>
      <c r="J41" s="20"/>
      <c r="K41" s="15"/>
      <c r="L41" s="15"/>
      <c r="M41" s="19"/>
      <c r="N41" s="15"/>
      <c r="O41" s="15"/>
      <c r="P41" s="15"/>
      <c r="Q41" s="15"/>
      <c r="R41" s="15"/>
      <c r="S41" s="15"/>
      <c r="T41" s="15"/>
      <c r="U41" s="20"/>
      <c r="V41" s="15"/>
      <c r="W41" s="20"/>
      <c r="X41" s="20"/>
      <c r="Y41" s="15"/>
      <c r="Z41" s="15"/>
      <c r="AA41" s="15"/>
      <c r="AB41" s="15"/>
      <c r="AC41" s="15"/>
      <c r="AD41" s="15"/>
      <c r="AE41" s="15"/>
      <c r="AF41" s="20"/>
      <c r="AG41" s="15"/>
      <c r="AH41" s="15"/>
      <c r="AI41" s="15"/>
      <c r="AJ41" s="15"/>
      <c r="AK41" s="23"/>
      <c r="AL41" s="15"/>
      <c r="AM41" s="15"/>
      <c r="AN41" s="15"/>
      <c r="AO41" s="15"/>
      <c r="AP41" s="18"/>
      <c r="AQ41" s="20"/>
      <c r="AR41" s="20"/>
      <c r="AS41" s="15"/>
      <c r="AT41" s="15"/>
      <c r="AU41" s="24"/>
      <c r="AV41" s="15"/>
      <c r="AW41" s="15"/>
      <c r="AX41" s="15"/>
      <c r="AY41" s="24"/>
      <c r="AZ41" s="15"/>
      <c r="BA41" s="15"/>
      <c r="BB41" s="15"/>
      <c r="BC41" s="18"/>
      <c r="BD41" s="15"/>
      <c r="BE41" s="15"/>
      <c r="BF41" s="41"/>
      <c r="BG41" s="32"/>
      <c r="BH41" s="32"/>
      <c r="BI41" s="33"/>
      <c r="BJ41" s="38"/>
      <c r="BK41" s="39"/>
    </row>
    <row r="42">
      <c r="A42" s="44"/>
      <c r="B42" s="40"/>
      <c r="C42" s="20"/>
      <c r="D42" s="15"/>
      <c r="E42" s="23"/>
      <c r="F42" s="20"/>
      <c r="G42" s="20"/>
      <c r="H42" s="20"/>
      <c r="I42" s="20"/>
      <c r="J42" s="20"/>
      <c r="K42" s="15"/>
      <c r="L42" s="19"/>
      <c r="M42" s="20"/>
      <c r="N42" s="23"/>
      <c r="O42" s="15"/>
      <c r="P42" s="15"/>
      <c r="Q42" s="15"/>
      <c r="R42" s="19"/>
      <c r="S42" s="15"/>
      <c r="T42" s="20"/>
      <c r="U42" s="20"/>
      <c r="V42" s="15"/>
      <c r="W42" s="20"/>
      <c r="X42" s="20"/>
      <c r="Y42" s="20"/>
      <c r="Z42" s="20"/>
      <c r="AA42" s="20"/>
      <c r="AB42" s="19"/>
      <c r="AC42" s="34"/>
      <c r="AD42" s="15"/>
      <c r="AE42" s="15"/>
      <c r="AF42" s="15"/>
      <c r="AG42" s="20"/>
      <c r="AH42" s="15"/>
      <c r="AI42" s="15"/>
      <c r="AJ42" s="20"/>
      <c r="AK42" s="23"/>
      <c r="AL42" s="20"/>
      <c r="AM42" s="18"/>
      <c r="AN42" s="15"/>
      <c r="AO42" s="15"/>
      <c r="AP42" s="15"/>
      <c r="AQ42" s="20"/>
      <c r="AR42" s="20"/>
      <c r="AS42" s="24"/>
      <c r="AT42" s="15"/>
      <c r="AU42" s="15"/>
      <c r="AV42" s="15"/>
      <c r="AW42" s="15"/>
      <c r="AX42" s="15"/>
      <c r="AY42" s="24"/>
      <c r="AZ42" s="24"/>
      <c r="BA42" s="15"/>
      <c r="BB42" s="15"/>
      <c r="BC42" s="18"/>
      <c r="BD42" s="15"/>
      <c r="BE42" s="18"/>
      <c r="BF42" s="25"/>
      <c r="BG42" s="26"/>
      <c r="BH42" s="32"/>
      <c r="BI42" s="26"/>
      <c r="BJ42" s="38"/>
      <c r="BK42" s="39"/>
    </row>
    <row r="43">
      <c r="A43" s="44"/>
      <c r="B43" s="40"/>
      <c r="C43" s="17"/>
      <c r="D43" s="15"/>
      <c r="E43" s="20"/>
      <c r="F43" s="40"/>
      <c r="G43" s="20"/>
      <c r="H43" s="20"/>
      <c r="I43" s="20"/>
      <c r="J43" s="20"/>
      <c r="K43" s="15"/>
      <c r="L43" s="15"/>
      <c r="M43" s="19"/>
      <c r="N43" s="15"/>
      <c r="O43" s="20"/>
      <c r="P43" s="15"/>
      <c r="Q43" s="15"/>
      <c r="R43" s="19"/>
      <c r="S43" s="15"/>
      <c r="T43" s="15"/>
      <c r="U43" s="20"/>
      <c r="V43" s="15"/>
      <c r="W43" s="20"/>
      <c r="X43" s="20"/>
      <c r="Y43" s="20"/>
      <c r="Z43" s="15"/>
      <c r="AA43" s="20"/>
      <c r="AB43" s="15"/>
      <c r="AC43" s="15"/>
      <c r="AD43" s="15"/>
      <c r="AE43" s="15"/>
      <c r="AF43" s="15"/>
      <c r="AG43" s="20"/>
      <c r="AH43" s="15"/>
      <c r="AI43" s="15"/>
      <c r="AJ43" s="15"/>
      <c r="AK43" s="23"/>
      <c r="AL43" s="15"/>
      <c r="AM43" s="15"/>
      <c r="AN43" s="15"/>
      <c r="AO43" s="15"/>
      <c r="AP43" s="18"/>
      <c r="AQ43" s="20"/>
      <c r="AR43" s="20"/>
      <c r="AS43" s="15"/>
      <c r="AT43" s="15"/>
      <c r="AU43" s="24"/>
      <c r="AV43" s="15"/>
      <c r="AW43" s="15"/>
      <c r="AX43" s="15"/>
      <c r="AY43" s="24"/>
      <c r="AZ43" s="15"/>
      <c r="BA43" s="15"/>
      <c r="BB43" s="15"/>
      <c r="BC43" s="50"/>
      <c r="BD43" s="50"/>
      <c r="BE43" s="15"/>
      <c r="BF43" s="41"/>
      <c r="BG43" s="26"/>
      <c r="BH43" s="32"/>
      <c r="BI43" s="32"/>
      <c r="BJ43" s="32"/>
      <c r="BK43" s="51"/>
    </row>
    <row r="44">
      <c r="A44" s="15"/>
      <c r="B44" s="40"/>
      <c r="C44" s="17"/>
      <c r="D44" s="31"/>
      <c r="E44" s="31"/>
      <c r="F44" s="20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15"/>
      <c r="T44" s="15"/>
      <c r="U44" s="20"/>
      <c r="V44" s="15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20"/>
      <c r="AR44" s="20"/>
      <c r="AS44" s="15"/>
      <c r="AT44" s="15"/>
      <c r="AU44" s="24"/>
      <c r="AV44" s="15"/>
      <c r="AW44" s="15"/>
      <c r="AX44" s="15"/>
      <c r="AY44" s="24"/>
      <c r="AZ44" s="15"/>
      <c r="BA44" s="31"/>
      <c r="BB44" s="31"/>
      <c r="BC44" s="31"/>
      <c r="BD44" s="31"/>
      <c r="BE44" s="15"/>
      <c r="BF44" s="25"/>
      <c r="BG44" s="32"/>
      <c r="BH44" s="26"/>
      <c r="BI44" s="33"/>
      <c r="BJ44" s="38"/>
      <c r="BK44" s="39"/>
    </row>
    <row r="45">
      <c r="A45" s="15"/>
      <c r="B45" s="40"/>
      <c r="C45" s="20"/>
      <c r="D45" s="15"/>
      <c r="E45" s="23"/>
      <c r="F45" s="20"/>
      <c r="G45" s="20"/>
      <c r="H45" s="20"/>
      <c r="I45" s="20"/>
      <c r="J45" s="20"/>
      <c r="K45" s="15"/>
      <c r="L45" s="19"/>
      <c r="M45" s="20"/>
      <c r="N45" s="23"/>
      <c r="O45" s="20"/>
      <c r="P45" s="15"/>
      <c r="Q45" s="15"/>
      <c r="R45" s="19"/>
      <c r="S45" s="23"/>
      <c r="T45" s="20"/>
      <c r="U45" s="20"/>
      <c r="V45" s="15"/>
      <c r="W45" s="20"/>
      <c r="X45" s="20"/>
      <c r="Y45" s="20"/>
      <c r="Z45" s="20"/>
      <c r="AA45" s="20"/>
      <c r="AB45" s="19"/>
      <c r="AC45" s="15"/>
      <c r="AD45" s="15"/>
      <c r="AE45" s="15"/>
      <c r="AF45" s="15"/>
      <c r="AG45" s="20"/>
      <c r="AH45" s="15"/>
      <c r="AI45" s="20"/>
      <c r="AJ45" s="20"/>
      <c r="AK45" s="19"/>
      <c r="AL45" s="20"/>
      <c r="AM45" s="18"/>
      <c r="AN45" s="15"/>
      <c r="AO45" s="15"/>
      <c r="AP45" s="15"/>
      <c r="AQ45" s="20"/>
      <c r="AR45" s="20"/>
      <c r="AS45" s="24"/>
      <c r="AT45" s="15"/>
      <c r="AU45" s="24"/>
      <c r="AV45" s="15"/>
      <c r="AW45" s="15"/>
      <c r="AX45" s="15"/>
      <c r="AY45" s="24"/>
      <c r="AZ45" s="24"/>
      <c r="BA45" s="15"/>
      <c r="BB45" s="15"/>
      <c r="BC45" s="18"/>
      <c r="BD45" s="15"/>
      <c r="BE45" s="18"/>
      <c r="BF45" s="25"/>
      <c r="BG45" s="26"/>
      <c r="BH45" s="26"/>
      <c r="BI45" s="33"/>
      <c r="BJ45" s="26"/>
      <c r="BK45" s="27"/>
    </row>
    <row r="46">
      <c r="A46" s="44"/>
      <c r="B46" s="40"/>
      <c r="C46" s="17"/>
      <c r="D46" s="15"/>
      <c r="E46" s="23"/>
      <c r="F46" s="20"/>
      <c r="G46" s="20"/>
      <c r="H46" s="20"/>
      <c r="I46" s="20"/>
      <c r="J46" s="20"/>
      <c r="K46" s="15"/>
      <c r="L46" s="19"/>
      <c r="M46" s="20"/>
      <c r="N46" s="23"/>
      <c r="O46" s="20"/>
      <c r="P46" s="15"/>
      <c r="Q46" s="15"/>
      <c r="R46" s="19"/>
      <c r="S46" s="23"/>
      <c r="T46" s="20"/>
      <c r="U46" s="20"/>
      <c r="V46" s="15"/>
      <c r="W46" s="20"/>
      <c r="X46" s="20"/>
      <c r="Y46" s="20"/>
      <c r="Z46" s="20"/>
      <c r="AA46" s="20"/>
      <c r="AB46" s="19"/>
      <c r="AC46" s="34"/>
      <c r="AD46" s="15"/>
      <c r="AE46" s="15"/>
      <c r="AF46" s="20"/>
      <c r="AG46" s="20"/>
      <c r="AH46" s="15"/>
      <c r="AI46" s="20"/>
      <c r="AJ46" s="20"/>
      <c r="AK46" s="19"/>
      <c r="AL46" s="20"/>
      <c r="AM46" s="18"/>
      <c r="AN46" s="15"/>
      <c r="AO46" s="15"/>
      <c r="AP46" s="15"/>
      <c r="AQ46" s="20"/>
      <c r="AR46" s="20"/>
      <c r="AS46" s="24"/>
      <c r="AT46" s="15"/>
      <c r="AU46" s="15"/>
      <c r="AV46" s="15"/>
      <c r="AW46" s="15"/>
      <c r="AX46" s="15"/>
      <c r="AY46" s="24"/>
      <c r="AZ46" s="24"/>
      <c r="BA46" s="15"/>
      <c r="BB46" s="15"/>
      <c r="BC46" s="15"/>
      <c r="BD46" s="15"/>
      <c r="BE46" s="18"/>
      <c r="BF46" s="25"/>
      <c r="BG46" s="26"/>
      <c r="BH46" s="26"/>
      <c r="BI46" s="26"/>
      <c r="BJ46" s="26"/>
      <c r="BK46" s="27"/>
    </row>
    <row r="47">
      <c r="A47" s="44"/>
      <c r="B47" s="40"/>
      <c r="C47" s="20"/>
      <c r="D47" s="15"/>
      <c r="E47" s="23"/>
      <c r="F47" s="20"/>
      <c r="G47" s="20"/>
      <c r="H47" s="20"/>
      <c r="I47" s="20"/>
      <c r="J47" s="20"/>
      <c r="K47" s="15"/>
      <c r="L47" s="19"/>
      <c r="M47" s="20"/>
      <c r="N47" s="23"/>
      <c r="O47" s="15"/>
      <c r="P47" s="15"/>
      <c r="Q47" s="15"/>
      <c r="R47" s="19"/>
      <c r="S47" s="15"/>
      <c r="T47" s="20"/>
      <c r="U47" s="20"/>
      <c r="V47" s="15"/>
      <c r="W47" s="20"/>
      <c r="X47" s="20"/>
      <c r="Y47" s="20"/>
      <c r="Z47" s="20"/>
      <c r="AA47" s="20"/>
      <c r="AB47" s="19"/>
      <c r="AC47" s="34"/>
      <c r="AD47" s="15"/>
      <c r="AE47" s="15"/>
      <c r="AF47" s="15"/>
      <c r="AG47" s="20"/>
      <c r="AH47" s="15"/>
      <c r="AI47" s="20"/>
      <c r="AJ47" s="40"/>
      <c r="AK47" s="23"/>
      <c r="AL47" s="20"/>
      <c r="AM47" s="40"/>
      <c r="AN47" s="40"/>
      <c r="AO47" s="40"/>
      <c r="AP47" s="40"/>
      <c r="AQ47" s="20"/>
      <c r="AR47" s="20"/>
      <c r="AS47" s="24"/>
      <c r="AT47" s="15"/>
      <c r="AU47" s="15"/>
      <c r="AV47" s="15"/>
      <c r="AW47" s="15"/>
      <c r="AX47" s="15"/>
      <c r="AY47" s="24"/>
      <c r="AZ47" s="24"/>
      <c r="BA47" s="15"/>
      <c r="BB47" s="15"/>
      <c r="BC47" s="18"/>
      <c r="BD47" s="15"/>
      <c r="BE47" s="18"/>
      <c r="BF47" s="41"/>
      <c r="BG47" s="26"/>
      <c r="BH47" s="32"/>
      <c r="BI47" s="26"/>
      <c r="BJ47" s="26"/>
      <c r="BK47" s="27"/>
    </row>
    <row r="48">
      <c r="A48" s="15"/>
      <c r="B48" s="40"/>
      <c r="C48" s="20"/>
      <c r="D48" s="15"/>
      <c r="E48" s="23"/>
      <c r="F48" s="20"/>
      <c r="G48" s="20"/>
      <c r="H48" s="20"/>
      <c r="I48" s="20"/>
      <c r="J48" s="20"/>
      <c r="K48" s="15"/>
      <c r="L48" s="19"/>
      <c r="M48" s="20"/>
      <c r="N48" s="23"/>
      <c r="O48" s="20"/>
      <c r="P48" s="15"/>
      <c r="Q48" s="15"/>
      <c r="R48" s="19"/>
      <c r="S48" s="23"/>
      <c r="T48" s="20"/>
      <c r="U48" s="20"/>
      <c r="V48" s="15"/>
      <c r="W48" s="20"/>
      <c r="X48" s="20"/>
      <c r="Y48" s="20"/>
      <c r="Z48" s="20"/>
      <c r="AA48" s="20"/>
      <c r="AB48" s="19"/>
      <c r="AC48" s="34"/>
      <c r="AD48" s="15"/>
      <c r="AE48" s="15"/>
      <c r="AF48" s="15"/>
      <c r="AG48" s="20"/>
      <c r="AH48" s="15"/>
      <c r="AI48" s="20"/>
      <c r="AJ48" s="20"/>
      <c r="AK48" s="19"/>
      <c r="AL48" s="20"/>
      <c r="AM48" s="18"/>
      <c r="AN48" s="15"/>
      <c r="AO48" s="15"/>
      <c r="AP48" s="15"/>
      <c r="AQ48" s="20"/>
      <c r="AR48" s="20"/>
      <c r="AS48" s="24"/>
      <c r="AT48" s="15"/>
      <c r="AU48" s="15"/>
      <c r="AV48" s="15"/>
      <c r="AW48" s="15"/>
      <c r="AX48" s="15"/>
      <c r="AY48" s="24"/>
      <c r="AZ48" s="24"/>
      <c r="BA48" s="15"/>
      <c r="BB48" s="15"/>
      <c r="BC48" s="15"/>
      <c r="BD48" s="15"/>
      <c r="BE48" s="18"/>
      <c r="BF48" s="25"/>
      <c r="BG48" s="26"/>
      <c r="BH48" s="26"/>
      <c r="BI48" s="26"/>
      <c r="BJ48" s="26"/>
      <c r="BK48" s="27"/>
    </row>
    <row r="49">
      <c r="A49" s="15"/>
      <c r="B49" s="40"/>
      <c r="C49" s="37"/>
      <c r="D49" s="31"/>
      <c r="E49" s="31"/>
      <c r="F49" s="20"/>
      <c r="G49" s="20"/>
      <c r="H49" s="20"/>
      <c r="I49" s="20"/>
      <c r="J49" s="20"/>
      <c r="K49" s="15"/>
      <c r="L49" s="19"/>
      <c r="M49" s="20"/>
      <c r="N49" s="31"/>
      <c r="O49" s="15"/>
      <c r="P49" s="15"/>
      <c r="Q49" s="15"/>
      <c r="R49" s="19"/>
      <c r="S49" s="23"/>
      <c r="T49" s="20"/>
      <c r="U49" s="20"/>
      <c r="V49" s="15"/>
      <c r="W49" s="20"/>
      <c r="X49" s="20"/>
      <c r="Y49" s="20"/>
      <c r="Z49" s="20"/>
      <c r="AA49" s="20"/>
      <c r="AB49" s="19"/>
      <c r="AC49" s="34"/>
      <c r="AD49" s="31"/>
      <c r="AE49" s="15"/>
      <c r="AF49" s="20"/>
      <c r="AG49" s="20"/>
      <c r="AH49" s="15"/>
      <c r="AI49" s="20"/>
      <c r="AJ49" s="20"/>
      <c r="AK49" s="19"/>
      <c r="AL49" s="20"/>
      <c r="AM49" s="18"/>
      <c r="AN49" s="15"/>
      <c r="AO49" s="15"/>
      <c r="AP49" s="15"/>
      <c r="AQ49" s="20"/>
      <c r="AR49" s="20"/>
      <c r="AS49" s="24"/>
      <c r="AT49" s="15"/>
      <c r="AU49" s="15"/>
      <c r="AV49" s="15"/>
      <c r="AW49" s="15"/>
      <c r="AX49" s="15"/>
      <c r="AY49" s="24"/>
      <c r="AZ49" s="24"/>
      <c r="BA49" s="15"/>
      <c r="BB49" s="15"/>
      <c r="BC49" s="15"/>
      <c r="BD49" s="15"/>
      <c r="BE49" s="18"/>
      <c r="BF49" s="25"/>
      <c r="BG49" s="26"/>
      <c r="BH49" s="26"/>
      <c r="BI49" s="26"/>
      <c r="BJ49" s="26"/>
      <c r="BK49" s="27"/>
    </row>
    <row r="50">
      <c r="A50" s="15"/>
      <c r="B50" s="40"/>
      <c r="C50" s="17"/>
      <c r="D50" s="15"/>
      <c r="E50" s="23"/>
      <c r="F50" s="20"/>
      <c r="G50" s="20"/>
      <c r="H50" s="20"/>
      <c r="I50" s="20"/>
      <c r="J50" s="20"/>
      <c r="K50" s="15"/>
      <c r="L50" s="15"/>
      <c r="M50" s="20"/>
      <c r="N50" s="23"/>
      <c r="O50" s="15"/>
      <c r="P50" s="15"/>
      <c r="Q50" s="15"/>
      <c r="R50" s="19"/>
      <c r="S50" s="23"/>
      <c r="T50" s="20"/>
      <c r="U50" s="20"/>
      <c r="V50" s="15"/>
      <c r="W50" s="20"/>
      <c r="X50" s="20"/>
      <c r="Y50" s="20"/>
      <c r="Z50" s="20"/>
      <c r="AA50" s="20"/>
      <c r="AB50" s="19"/>
      <c r="AC50" s="15"/>
      <c r="AD50" s="15"/>
      <c r="AE50" s="15"/>
      <c r="AF50" s="20"/>
      <c r="AG50" s="20"/>
      <c r="AH50" s="15"/>
      <c r="AI50" s="15"/>
      <c r="AJ50" s="20"/>
      <c r="AK50" s="23"/>
      <c r="AL50" s="20"/>
      <c r="AM50" s="18"/>
      <c r="AN50" s="15"/>
      <c r="AO50" s="15"/>
      <c r="AP50" s="18"/>
      <c r="AQ50" s="20"/>
      <c r="AR50" s="20"/>
      <c r="AS50" s="24"/>
      <c r="AT50" s="15"/>
      <c r="AU50" s="15"/>
      <c r="AV50" s="15"/>
      <c r="AW50" s="15"/>
      <c r="AX50" s="15"/>
      <c r="AY50" s="24"/>
      <c r="AZ50" s="24"/>
      <c r="BA50" s="31"/>
      <c r="BB50" s="31"/>
      <c r="BC50" s="15"/>
      <c r="BD50" s="15"/>
      <c r="BE50" s="18"/>
      <c r="BF50" s="25"/>
      <c r="BG50" s="26"/>
      <c r="BH50" s="26"/>
      <c r="BI50" s="26"/>
      <c r="BJ50" s="38"/>
      <c r="BK50" s="39"/>
    </row>
    <row r="51">
      <c r="A51" s="44"/>
      <c r="B51" s="40"/>
      <c r="C51" s="17"/>
      <c r="D51" s="15"/>
      <c r="E51" s="23"/>
      <c r="F51" s="20"/>
      <c r="G51" s="40"/>
      <c r="H51" s="20"/>
      <c r="I51" s="20"/>
      <c r="J51" s="20"/>
      <c r="K51" s="15"/>
      <c r="L51" s="19"/>
      <c r="M51" s="20"/>
      <c r="N51" s="40"/>
      <c r="O51" s="15"/>
      <c r="P51" s="15"/>
      <c r="Q51" s="15"/>
      <c r="R51" s="19"/>
      <c r="S51" s="15"/>
      <c r="T51" s="20"/>
      <c r="U51" s="20"/>
      <c r="V51" s="15"/>
      <c r="W51" s="20"/>
      <c r="X51" s="20"/>
      <c r="Y51" s="15"/>
      <c r="Z51" s="20"/>
      <c r="AA51" s="20"/>
      <c r="AB51" s="19"/>
      <c r="AC51" s="34"/>
      <c r="AD51" s="15"/>
      <c r="AE51" s="20"/>
      <c r="AF51" s="40"/>
      <c r="AG51" s="40"/>
      <c r="AH51" s="40"/>
      <c r="AI51" s="15"/>
      <c r="AJ51" s="20"/>
      <c r="AK51" s="23"/>
      <c r="AL51" s="20"/>
      <c r="AM51" s="40"/>
      <c r="AN51" s="40"/>
      <c r="AO51" s="40"/>
      <c r="AP51" s="40"/>
      <c r="AQ51" s="20"/>
      <c r="AR51" s="20"/>
      <c r="AS51" s="15"/>
      <c r="AT51" s="15"/>
      <c r="AU51" s="15"/>
      <c r="AV51" s="15"/>
      <c r="AW51" s="15"/>
      <c r="AX51" s="15"/>
      <c r="AY51" s="24"/>
      <c r="AZ51" s="24"/>
      <c r="BA51" s="15"/>
      <c r="BB51" s="15"/>
      <c r="BC51" s="50"/>
      <c r="BD51" s="50"/>
      <c r="BE51" s="15"/>
      <c r="BF51" s="25"/>
      <c r="BG51" s="26"/>
      <c r="BH51" s="26"/>
      <c r="BI51" s="26"/>
      <c r="BJ51" s="26"/>
      <c r="BK51" s="27"/>
    </row>
    <row r="52">
      <c r="A52" s="15"/>
      <c r="B52" s="40"/>
      <c r="C52" s="20"/>
      <c r="D52" s="15"/>
      <c r="E52" s="23"/>
      <c r="F52" s="20"/>
      <c r="G52" s="20"/>
      <c r="H52" s="20"/>
      <c r="I52" s="20"/>
      <c r="J52" s="20"/>
      <c r="K52" s="15"/>
      <c r="L52" s="19"/>
      <c r="M52" s="20"/>
      <c r="N52" s="23"/>
      <c r="O52" s="20"/>
      <c r="P52" s="15"/>
      <c r="Q52" s="15"/>
      <c r="R52" s="19"/>
      <c r="S52" s="23"/>
      <c r="T52" s="20"/>
      <c r="U52" s="20"/>
      <c r="V52" s="15"/>
      <c r="W52" s="20"/>
      <c r="X52" s="20"/>
      <c r="Y52" s="20"/>
      <c r="Z52" s="20"/>
      <c r="AA52" s="20"/>
      <c r="AB52" s="19"/>
      <c r="AC52" s="34"/>
      <c r="AD52" s="15"/>
      <c r="AE52" s="15"/>
      <c r="AF52" s="20"/>
      <c r="AG52" s="20"/>
      <c r="AH52" s="15"/>
      <c r="AI52" s="20"/>
      <c r="AJ52" s="20"/>
      <c r="AK52" s="23"/>
      <c r="AL52" s="20"/>
      <c r="AM52" s="18"/>
      <c r="AN52" s="15"/>
      <c r="AO52" s="15"/>
      <c r="AP52" s="15"/>
      <c r="AQ52" s="20"/>
      <c r="AR52" s="20"/>
      <c r="AS52" s="24"/>
      <c r="AT52" s="15"/>
      <c r="AU52" s="15"/>
      <c r="AV52" s="15"/>
      <c r="AW52" s="15"/>
      <c r="AX52" s="15"/>
      <c r="AY52" s="24"/>
      <c r="AZ52" s="24"/>
      <c r="BA52" s="15"/>
      <c r="BB52" s="15"/>
      <c r="BC52" s="15"/>
      <c r="BD52" s="15"/>
      <c r="BE52" s="18"/>
      <c r="BF52" s="25"/>
      <c r="BG52" s="26"/>
      <c r="BH52" s="26"/>
      <c r="BI52" s="26"/>
      <c r="BJ52" s="26"/>
      <c r="BK52" s="27"/>
    </row>
    <row r="53">
      <c r="A53" s="15"/>
      <c r="B53" s="40"/>
      <c r="C53" s="37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20"/>
      <c r="P53" s="15"/>
      <c r="Q53" s="15"/>
      <c r="R53" s="19"/>
      <c r="S53" s="31"/>
      <c r="T53" s="31"/>
      <c r="U53" s="31"/>
      <c r="V53" s="31"/>
      <c r="W53" s="31"/>
      <c r="X53" s="31"/>
      <c r="Y53" s="31"/>
      <c r="Z53" s="31"/>
      <c r="AA53" s="20"/>
      <c r="AB53" s="19"/>
      <c r="AC53" s="34"/>
      <c r="AD53" s="15"/>
      <c r="AE53" s="15"/>
      <c r="AF53" s="20"/>
      <c r="AG53" s="20"/>
      <c r="AH53" s="15"/>
      <c r="AI53" s="20"/>
      <c r="AJ53" s="20"/>
      <c r="AK53" s="19"/>
      <c r="AL53" s="20"/>
      <c r="AM53" s="18"/>
      <c r="AN53" s="15"/>
      <c r="AO53" s="15"/>
      <c r="AP53" s="15"/>
      <c r="AQ53" s="31"/>
      <c r="AR53" s="31"/>
      <c r="AS53" s="31"/>
      <c r="AT53" s="31"/>
      <c r="AU53" s="31"/>
      <c r="AV53" s="31"/>
      <c r="AW53" s="31"/>
      <c r="AX53" s="31"/>
      <c r="AY53" s="24"/>
      <c r="AZ53" s="24"/>
      <c r="BA53" s="15"/>
      <c r="BB53" s="15"/>
      <c r="BC53" s="15"/>
      <c r="BD53" s="15"/>
      <c r="BE53" s="18"/>
      <c r="BF53" s="25"/>
      <c r="BG53" s="26"/>
      <c r="BH53" s="26"/>
      <c r="BI53" s="26"/>
      <c r="BJ53" s="26"/>
      <c r="BK53" s="27"/>
    </row>
    <row r="54">
      <c r="A54" s="15"/>
      <c r="B54" s="40"/>
      <c r="C54" s="17"/>
      <c r="D54" s="15"/>
      <c r="E54" s="23"/>
      <c r="F54" s="20"/>
      <c r="G54" s="20"/>
      <c r="H54" s="20"/>
      <c r="I54" s="20"/>
      <c r="J54" s="20"/>
      <c r="K54" s="15"/>
      <c r="L54" s="19"/>
      <c r="M54" s="20"/>
      <c r="N54" s="23"/>
      <c r="O54" s="15"/>
      <c r="P54" s="15"/>
      <c r="Q54" s="15"/>
      <c r="R54" s="19"/>
      <c r="S54" s="23"/>
      <c r="T54" s="20"/>
      <c r="U54" s="20"/>
      <c r="V54" s="15"/>
      <c r="W54" s="20"/>
      <c r="X54" s="20"/>
      <c r="Y54" s="20"/>
      <c r="Z54" s="20"/>
      <c r="AA54" s="20"/>
      <c r="AB54" s="19"/>
      <c r="AC54" s="34"/>
      <c r="AD54" s="15"/>
      <c r="AE54" s="15"/>
      <c r="AF54" s="20"/>
      <c r="AG54" s="20"/>
      <c r="AH54" s="15"/>
      <c r="AI54" s="15"/>
      <c r="AJ54" s="20"/>
      <c r="AK54" s="19"/>
      <c r="AL54" s="20"/>
      <c r="AM54" s="18"/>
      <c r="AN54" s="15"/>
      <c r="AO54" s="15"/>
      <c r="AP54" s="15"/>
      <c r="AQ54" s="31"/>
      <c r="AR54" s="31"/>
      <c r="AS54" s="31"/>
      <c r="AT54" s="31"/>
      <c r="AU54" s="15"/>
      <c r="AV54" s="15"/>
      <c r="AW54" s="15"/>
      <c r="AX54" s="15"/>
      <c r="AY54" s="24"/>
      <c r="AZ54" s="24"/>
      <c r="BA54" s="15"/>
      <c r="BB54" s="15"/>
      <c r="BC54" s="15"/>
      <c r="BD54" s="15"/>
      <c r="BE54" s="18"/>
      <c r="BF54" s="25"/>
      <c r="BG54" s="26"/>
      <c r="BH54" s="26"/>
      <c r="BI54" s="26"/>
      <c r="BJ54" s="26"/>
      <c r="BK54" s="27"/>
    </row>
    <row r="55">
      <c r="A55" s="15"/>
      <c r="B55" s="40"/>
      <c r="C55" s="37"/>
      <c r="D55" s="31"/>
      <c r="E55" s="31"/>
      <c r="F55" s="31"/>
      <c r="G55" s="31"/>
      <c r="H55" s="20"/>
      <c r="I55" s="20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43"/>
      <c r="BG55" s="45"/>
      <c r="BH55" s="45"/>
      <c r="BI55" s="45"/>
      <c r="BJ55" s="45"/>
    </row>
    <row r="56">
      <c r="A56" s="15"/>
      <c r="B56" s="40"/>
      <c r="C56" s="17"/>
      <c r="D56" s="31"/>
      <c r="E56" s="23"/>
      <c r="F56" s="20"/>
      <c r="G56" s="20"/>
      <c r="H56" s="20"/>
      <c r="I56" s="20"/>
      <c r="J56" s="20"/>
      <c r="K56" s="15"/>
      <c r="L56" s="19"/>
      <c r="M56" s="20"/>
      <c r="N56" s="31"/>
      <c r="O56" s="20"/>
      <c r="P56" s="15"/>
      <c r="Q56" s="15"/>
      <c r="R56" s="19"/>
      <c r="S56" s="23"/>
      <c r="T56" s="20"/>
      <c r="U56" s="20"/>
      <c r="V56" s="15"/>
      <c r="W56" s="20"/>
      <c r="X56" s="20"/>
      <c r="Y56" s="20"/>
      <c r="Z56" s="20"/>
      <c r="AA56" s="20"/>
      <c r="AB56" s="19"/>
      <c r="AC56" s="34"/>
      <c r="AD56" s="15"/>
      <c r="AE56" s="15"/>
      <c r="AF56" s="15"/>
      <c r="AG56" s="20"/>
      <c r="AH56" s="15"/>
      <c r="AI56" s="20"/>
      <c r="AJ56" s="20"/>
      <c r="AK56" s="19"/>
      <c r="AL56" s="20"/>
      <c r="AM56" s="18"/>
      <c r="AN56" s="15"/>
      <c r="AO56" s="15"/>
      <c r="AP56" s="15"/>
      <c r="AQ56" s="20"/>
      <c r="AR56" s="20"/>
      <c r="AS56" s="24"/>
      <c r="AT56" s="15"/>
      <c r="AU56" s="15"/>
      <c r="AV56" s="15"/>
      <c r="AW56" s="15"/>
      <c r="AX56" s="15"/>
      <c r="AY56" s="24"/>
      <c r="AZ56" s="24"/>
      <c r="BA56" s="31"/>
      <c r="BB56" s="31"/>
      <c r="BC56" s="15"/>
      <c r="BD56" s="15"/>
      <c r="BE56" s="18"/>
      <c r="BF56" s="25"/>
      <c r="BG56" s="26"/>
      <c r="BH56" s="26"/>
      <c r="BI56" s="26"/>
      <c r="BJ56" s="26"/>
      <c r="BK56" s="27"/>
    </row>
    <row r="57">
      <c r="A57" s="15"/>
      <c r="B57" s="40"/>
      <c r="C57" s="37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23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43"/>
      <c r="BG57" s="45"/>
      <c r="BH57" s="45"/>
      <c r="BI57" s="45"/>
      <c r="BJ57" s="45"/>
    </row>
    <row r="58">
      <c r="A58" s="44"/>
      <c r="B58" s="40"/>
      <c r="C58" s="17"/>
      <c r="D58" s="15"/>
      <c r="E58" s="20"/>
      <c r="F58" s="20"/>
      <c r="G58" s="20"/>
      <c r="H58" s="20"/>
      <c r="I58" s="20"/>
      <c r="J58" s="20"/>
      <c r="K58" s="15"/>
      <c r="L58" s="19"/>
      <c r="M58" s="20"/>
      <c r="N58" s="23"/>
      <c r="O58" s="20"/>
      <c r="P58" s="15"/>
      <c r="Q58" s="15"/>
      <c r="R58" s="19"/>
      <c r="S58" s="23"/>
      <c r="T58" s="20"/>
      <c r="U58" s="20"/>
      <c r="V58" s="15"/>
      <c r="W58" s="20"/>
      <c r="X58" s="20"/>
      <c r="Y58" s="20"/>
      <c r="Z58" s="20"/>
      <c r="AA58" s="20"/>
      <c r="AB58" s="19"/>
      <c r="AC58" s="34"/>
      <c r="AD58" s="15"/>
      <c r="AE58" s="15"/>
      <c r="AF58" s="15"/>
      <c r="AG58" s="20"/>
      <c r="AH58" s="15"/>
      <c r="AI58" s="20"/>
      <c r="AJ58" s="20"/>
      <c r="AK58" s="19"/>
      <c r="AL58" s="20"/>
      <c r="AM58" s="18"/>
      <c r="AN58" s="15"/>
      <c r="AO58" s="15"/>
      <c r="AP58" s="15"/>
      <c r="AQ58" s="20"/>
      <c r="AR58" s="20"/>
      <c r="AS58" s="24"/>
      <c r="AT58" s="15"/>
      <c r="AU58" s="15"/>
      <c r="AV58" s="15"/>
      <c r="AW58" s="15"/>
      <c r="AX58" s="15"/>
      <c r="AY58" s="24"/>
      <c r="AZ58" s="24"/>
      <c r="BA58" s="15"/>
      <c r="BB58" s="15"/>
      <c r="BC58" s="15"/>
      <c r="BD58" s="15"/>
      <c r="BE58" s="18"/>
      <c r="BF58" s="25"/>
      <c r="BG58" s="26"/>
      <c r="BH58" s="26"/>
      <c r="BI58" s="26"/>
      <c r="BJ58" s="26"/>
      <c r="BK58" s="27"/>
    </row>
    <row r="59">
      <c r="A59" s="44"/>
      <c r="B59" s="40"/>
      <c r="C59" s="20"/>
      <c r="D59" s="15"/>
      <c r="E59" s="23"/>
      <c r="F59" s="20"/>
      <c r="G59" s="20"/>
      <c r="H59" s="20"/>
      <c r="I59" s="20"/>
      <c r="J59" s="20"/>
      <c r="K59" s="15"/>
      <c r="L59" s="19"/>
      <c r="M59" s="20"/>
      <c r="N59" s="23"/>
      <c r="O59" s="15"/>
      <c r="P59" s="15"/>
      <c r="Q59" s="15"/>
      <c r="R59" s="19"/>
      <c r="S59" s="23"/>
      <c r="T59" s="20"/>
      <c r="U59" s="20"/>
      <c r="V59" s="15"/>
      <c r="W59" s="40"/>
      <c r="X59" s="40"/>
      <c r="Y59" s="40"/>
      <c r="Z59" s="40"/>
      <c r="AA59" s="20"/>
      <c r="AB59" s="19"/>
      <c r="AC59" s="34"/>
      <c r="AD59" s="15"/>
      <c r="AE59" s="15"/>
      <c r="AF59" s="20"/>
      <c r="AG59" s="20"/>
      <c r="AH59" s="15"/>
      <c r="AI59" s="15"/>
      <c r="AJ59" s="20"/>
      <c r="AK59" s="19"/>
      <c r="AL59" s="20"/>
      <c r="AM59" s="18"/>
      <c r="AN59" s="15"/>
      <c r="AO59" s="15"/>
      <c r="AP59" s="15"/>
      <c r="AQ59" s="40"/>
      <c r="AR59" s="40"/>
      <c r="AS59" s="50"/>
      <c r="AT59" s="50"/>
      <c r="AU59" s="15"/>
      <c r="AV59" s="15"/>
      <c r="AW59" s="15"/>
      <c r="AX59" s="15"/>
      <c r="AY59" s="24"/>
      <c r="AZ59" s="24"/>
      <c r="BA59" s="15"/>
      <c r="BB59" s="15"/>
      <c r="BC59" s="15"/>
      <c r="BD59" s="15"/>
      <c r="BE59" s="18"/>
      <c r="BF59" s="25"/>
      <c r="BG59" s="26"/>
      <c r="BH59" s="26"/>
      <c r="BI59" s="26"/>
      <c r="BJ59" s="26"/>
      <c r="BK59" s="27"/>
    </row>
    <row r="60">
      <c r="A60" s="15"/>
      <c r="B60" s="40"/>
      <c r="C60" s="17"/>
      <c r="D60" s="15"/>
      <c r="E60" s="20"/>
      <c r="F60" s="20"/>
      <c r="G60" s="20"/>
      <c r="H60" s="20"/>
      <c r="I60" s="20"/>
      <c r="J60" s="20"/>
      <c r="K60" s="15"/>
      <c r="L60" s="19"/>
      <c r="M60" s="20"/>
      <c r="N60" s="23"/>
      <c r="O60" s="20"/>
      <c r="P60" s="15"/>
      <c r="Q60" s="15"/>
      <c r="R60" s="19"/>
      <c r="S60" s="15"/>
      <c r="T60" s="15"/>
      <c r="U60" s="20"/>
      <c r="V60" s="15"/>
      <c r="W60" s="20"/>
      <c r="X60" s="20"/>
      <c r="Y60" s="20"/>
      <c r="Z60" s="20"/>
      <c r="AA60" s="20"/>
      <c r="AB60" s="19"/>
      <c r="AC60" s="34"/>
      <c r="AD60" s="15"/>
      <c r="AE60" s="15"/>
      <c r="AF60" s="20"/>
      <c r="AG60" s="20"/>
      <c r="AH60" s="15"/>
      <c r="AI60" s="15"/>
      <c r="AJ60" s="20"/>
      <c r="AK60" s="19"/>
      <c r="AL60" s="20"/>
      <c r="AM60" s="18"/>
      <c r="AN60" s="15"/>
      <c r="AO60" s="15"/>
      <c r="AP60" s="18"/>
      <c r="AQ60" s="20"/>
      <c r="AR60" s="20"/>
      <c r="AS60" s="24"/>
      <c r="AT60" s="15"/>
      <c r="AU60" s="15"/>
      <c r="AV60" s="15"/>
      <c r="AW60" s="15"/>
      <c r="AX60" s="15"/>
      <c r="AY60" s="24"/>
      <c r="AZ60" s="24"/>
      <c r="BA60" s="15"/>
      <c r="BB60" s="15"/>
      <c r="BC60" s="18"/>
      <c r="BD60" s="15"/>
      <c r="BE60" s="18"/>
      <c r="BF60" s="25"/>
      <c r="BG60" s="26"/>
      <c r="BH60" s="26"/>
      <c r="BI60" s="26"/>
      <c r="BJ60" s="38"/>
      <c r="BK60" s="39"/>
    </row>
    <row r="61">
      <c r="A61" s="44"/>
      <c r="B61" s="40"/>
      <c r="C61" s="20"/>
      <c r="D61" s="15"/>
      <c r="E61" s="23"/>
      <c r="F61" s="20"/>
      <c r="G61" s="20"/>
      <c r="H61" s="20"/>
      <c r="I61" s="20"/>
      <c r="J61" s="20"/>
      <c r="K61" s="15"/>
      <c r="L61" s="19"/>
      <c r="M61" s="20"/>
      <c r="N61" s="23"/>
      <c r="O61" s="20"/>
      <c r="P61" s="15"/>
      <c r="Q61" s="15"/>
      <c r="R61" s="19"/>
      <c r="S61" s="15"/>
      <c r="T61" s="20"/>
      <c r="U61" s="20"/>
      <c r="V61" s="15"/>
      <c r="W61" s="20"/>
      <c r="X61" s="20"/>
      <c r="Y61" s="20"/>
      <c r="Z61" s="20"/>
      <c r="AA61" s="20"/>
      <c r="AB61" s="19"/>
      <c r="AC61" s="34"/>
      <c r="AD61" s="15"/>
      <c r="AE61" s="15"/>
      <c r="AF61" s="20"/>
      <c r="AG61" s="20"/>
      <c r="AH61" s="15"/>
      <c r="AI61" s="20"/>
      <c r="AJ61" s="20"/>
      <c r="AK61" s="19"/>
      <c r="AL61" s="20"/>
      <c r="AM61" s="18"/>
      <c r="AN61" s="15"/>
      <c r="AO61" s="15"/>
      <c r="AP61" s="15"/>
      <c r="AQ61" s="20"/>
      <c r="AR61" s="20"/>
      <c r="AS61" s="24"/>
      <c r="AT61" s="15"/>
      <c r="AU61" s="15"/>
      <c r="AV61" s="15"/>
      <c r="AW61" s="15"/>
      <c r="AX61" s="15"/>
      <c r="AY61" s="24"/>
      <c r="AZ61" s="24"/>
      <c r="BA61" s="15"/>
      <c r="BB61" s="15"/>
      <c r="BC61" s="15"/>
      <c r="BD61" s="15"/>
      <c r="BE61" s="18"/>
      <c r="BF61" s="25"/>
      <c r="BG61" s="26"/>
      <c r="BH61" s="26"/>
      <c r="BI61" s="26"/>
      <c r="BJ61" s="26"/>
      <c r="BK61" s="27"/>
    </row>
    <row r="62">
      <c r="A62" s="44"/>
      <c r="B62" s="40"/>
      <c r="C62" s="20"/>
      <c r="D62" s="15"/>
      <c r="E62" s="23"/>
      <c r="F62" s="20"/>
      <c r="G62" s="20"/>
      <c r="H62" s="20"/>
      <c r="I62" s="20"/>
      <c r="J62" s="20"/>
      <c r="K62" s="15"/>
      <c r="L62" s="19"/>
      <c r="M62" s="20"/>
      <c r="N62" s="23"/>
      <c r="O62" s="15"/>
      <c r="P62" s="15"/>
      <c r="Q62" s="15"/>
      <c r="R62" s="19"/>
      <c r="S62" s="23"/>
      <c r="T62" s="20"/>
      <c r="U62" s="20"/>
      <c r="V62" s="15"/>
      <c r="W62" s="20"/>
      <c r="X62" s="20"/>
      <c r="Y62" s="20"/>
      <c r="Z62" s="20"/>
      <c r="AA62" s="15"/>
      <c r="AB62" s="19"/>
      <c r="AC62" s="34"/>
      <c r="AD62" s="15"/>
      <c r="AE62" s="15"/>
      <c r="AF62" s="20"/>
      <c r="AG62" s="20"/>
      <c r="AH62" s="15"/>
      <c r="AI62" s="15"/>
      <c r="AJ62" s="20"/>
      <c r="AK62" s="19"/>
      <c r="AL62" s="20"/>
      <c r="AM62" s="18"/>
      <c r="AN62" s="15"/>
      <c r="AO62" s="15"/>
      <c r="AP62" s="15"/>
      <c r="AQ62" s="20"/>
      <c r="AR62" s="20"/>
      <c r="AS62" s="24"/>
      <c r="AT62" s="15"/>
      <c r="AU62" s="50"/>
      <c r="AV62" s="50"/>
      <c r="AW62" s="50"/>
      <c r="AX62" s="50"/>
      <c r="AY62" s="24"/>
      <c r="AZ62" s="24"/>
      <c r="BA62" s="15"/>
      <c r="BB62" s="15"/>
      <c r="BC62" s="15"/>
      <c r="BD62" s="15"/>
      <c r="BE62" s="18"/>
      <c r="BF62" s="25"/>
      <c r="BG62" s="26"/>
      <c r="BH62" s="26"/>
      <c r="BI62" s="26"/>
      <c r="BJ62" s="26"/>
      <c r="BK62" s="27"/>
    </row>
    <row r="63">
      <c r="A63" s="44"/>
      <c r="B63" s="40"/>
      <c r="C63" s="20"/>
      <c r="D63" s="15"/>
      <c r="E63" s="23"/>
      <c r="F63" s="20"/>
      <c r="G63" s="20"/>
      <c r="H63" s="20"/>
      <c r="I63" s="20"/>
      <c r="J63" s="20"/>
      <c r="K63" s="15"/>
      <c r="L63" s="19"/>
      <c r="M63" s="20"/>
      <c r="N63" s="23"/>
      <c r="O63" s="20"/>
      <c r="P63" s="15"/>
      <c r="Q63" s="15"/>
      <c r="R63" s="19"/>
      <c r="S63" s="23"/>
      <c r="T63" s="20"/>
      <c r="U63" s="20"/>
      <c r="V63" s="15"/>
      <c r="W63" s="20"/>
      <c r="X63" s="20"/>
      <c r="Y63" s="20"/>
      <c r="Z63" s="20"/>
      <c r="AA63" s="20"/>
      <c r="AB63" s="19"/>
      <c r="AC63" s="34"/>
      <c r="AD63" s="15"/>
      <c r="AE63" s="15"/>
      <c r="AF63" s="20"/>
      <c r="AG63" s="20"/>
      <c r="AH63" s="15"/>
      <c r="AI63" s="20"/>
      <c r="AJ63" s="20"/>
      <c r="AK63" s="23"/>
      <c r="AL63" s="20"/>
      <c r="AM63" s="18"/>
      <c r="AN63" s="15"/>
      <c r="AO63" s="15"/>
      <c r="AP63" s="15"/>
      <c r="AQ63" s="20"/>
      <c r="AR63" s="20"/>
      <c r="AS63" s="24"/>
      <c r="AT63" s="15"/>
      <c r="AU63" s="15"/>
      <c r="AV63" s="15"/>
      <c r="AW63" s="15"/>
      <c r="AX63" s="15"/>
      <c r="AY63" s="24"/>
      <c r="AZ63" s="24"/>
      <c r="BA63" s="15"/>
      <c r="BB63" s="15"/>
      <c r="BC63" s="15"/>
      <c r="BD63" s="15"/>
      <c r="BE63" s="18"/>
      <c r="BF63" s="25"/>
      <c r="BG63" s="26"/>
      <c r="BH63" s="26"/>
      <c r="BI63" s="26"/>
      <c r="BJ63" s="26"/>
      <c r="BK63" s="27"/>
    </row>
    <row r="64">
      <c r="A64" s="15"/>
      <c r="B64" s="40"/>
      <c r="C64" s="20"/>
      <c r="D64" s="15"/>
      <c r="E64" s="23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52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43"/>
      <c r="BG64" s="45"/>
      <c r="BH64" s="45"/>
      <c r="BI64" s="45"/>
      <c r="BJ64" s="45"/>
    </row>
    <row r="65">
      <c r="A65" s="15"/>
      <c r="B65" s="40"/>
      <c r="C65" s="17"/>
      <c r="D65" s="31"/>
      <c r="E65" s="31"/>
      <c r="F65" s="20"/>
      <c r="G65" s="20"/>
      <c r="H65" s="20"/>
      <c r="I65" s="20"/>
      <c r="J65" s="20"/>
      <c r="K65" s="15"/>
      <c r="L65" s="19"/>
      <c r="M65" s="20"/>
      <c r="N65" s="31"/>
      <c r="O65" s="15"/>
      <c r="P65" s="15"/>
      <c r="Q65" s="15"/>
      <c r="R65" s="19"/>
      <c r="S65" s="15"/>
      <c r="T65" s="20"/>
      <c r="U65" s="20"/>
      <c r="V65" s="15"/>
      <c r="W65" s="20"/>
      <c r="X65" s="20"/>
      <c r="Y65" s="15"/>
      <c r="Z65" s="20"/>
      <c r="AA65" s="20"/>
      <c r="AB65" s="15"/>
      <c r="AC65" s="34"/>
      <c r="AD65" s="15"/>
      <c r="AE65" s="15"/>
      <c r="AF65" s="15"/>
      <c r="AG65" s="20"/>
      <c r="AH65" s="15"/>
      <c r="AI65" s="20"/>
      <c r="AJ65" s="20"/>
      <c r="AK65" s="19"/>
      <c r="AL65" s="20"/>
      <c r="AM65" s="31"/>
      <c r="AN65" s="31"/>
      <c r="AO65" s="31"/>
      <c r="AP65" s="31"/>
      <c r="AQ65" s="20"/>
      <c r="AR65" s="20"/>
      <c r="AS65" s="15"/>
      <c r="AT65" s="15"/>
      <c r="AU65" s="15"/>
      <c r="AV65" s="15"/>
      <c r="AW65" s="15"/>
      <c r="AX65" s="15"/>
      <c r="AY65" s="24"/>
      <c r="AZ65" s="24"/>
      <c r="BA65" s="15"/>
      <c r="BB65" s="15"/>
      <c r="BC65" s="31"/>
      <c r="BD65" s="31"/>
      <c r="BE65" s="18"/>
      <c r="BF65" s="25"/>
      <c r="BG65" s="26"/>
      <c r="BH65" s="26"/>
      <c r="BI65" s="26"/>
      <c r="BJ65" s="26"/>
      <c r="BK65" s="27"/>
    </row>
    <row r="66">
      <c r="A66" s="15"/>
      <c r="B66" s="40"/>
      <c r="C66" s="20"/>
      <c r="D66" s="15"/>
      <c r="E66" s="23"/>
      <c r="F66" s="20"/>
      <c r="G66" s="20"/>
      <c r="H66" s="20"/>
      <c r="I66" s="20"/>
      <c r="J66" s="20"/>
      <c r="K66" s="15"/>
      <c r="L66" s="19"/>
      <c r="M66" s="20"/>
      <c r="N66" s="23"/>
      <c r="O66" s="20"/>
      <c r="P66" s="15"/>
      <c r="Q66" s="15"/>
      <c r="R66" s="19"/>
      <c r="S66" s="23"/>
      <c r="T66" s="20"/>
      <c r="U66" s="20"/>
      <c r="V66" s="15"/>
      <c r="W66" s="20"/>
      <c r="X66" s="20"/>
      <c r="Y66" s="20"/>
      <c r="Z66" s="20"/>
      <c r="AA66" s="20"/>
      <c r="AB66" s="19"/>
      <c r="AC66" s="34"/>
      <c r="AD66" s="15"/>
      <c r="AE66" s="15"/>
      <c r="AF66" s="20"/>
      <c r="AG66" s="20"/>
      <c r="AH66" s="15"/>
      <c r="AI66" s="20"/>
      <c r="AJ66" s="20"/>
      <c r="AK66" s="19"/>
      <c r="AL66" s="20"/>
      <c r="AM66" s="18"/>
      <c r="AN66" s="15"/>
      <c r="AO66" s="15"/>
      <c r="AP66" s="15"/>
      <c r="AQ66" s="20"/>
      <c r="AR66" s="20"/>
      <c r="AS66" s="24"/>
      <c r="AT66" s="15"/>
      <c r="AU66" s="15"/>
      <c r="AV66" s="15"/>
      <c r="AW66" s="15"/>
      <c r="AX66" s="15"/>
      <c r="AY66" s="24"/>
      <c r="AZ66" s="24"/>
      <c r="BA66" s="15"/>
      <c r="BB66" s="15"/>
      <c r="BC66" s="18"/>
      <c r="BD66" s="15"/>
      <c r="BE66" s="18"/>
      <c r="BF66" s="25"/>
      <c r="BG66" s="26"/>
      <c r="BH66" s="26"/>
      <c r="BI66" s="26"/>
      <c r="BJ66" s="26"/>
      <c r="BK66" s="27"/>
    </row>
    <row r="67">
      <c r="A67" s="44"/>
      <c r="B67" s="40"/>
      <c r="C67" s="20"/>
      <c r="D67" s="15"/>
      <c r="E67" s="23"/>
      <c r="F67" s="20"/>
      <c r="G67" s="20"/>
      <c r="H67" s="20"/>
      <c r="I67" s="20"/>
      <c r="J67" s="20"/>
      <c r="K67" s="15"/>
      <c r="L67" s="19"/>
      <c r="M67" s="20"/>
      <c r="N67" s="23"/>
      <c r="O67" s="20"/>
      <c r="P67" s="15"/>
      <c r="Q67" s="15"/>
      <c r="R67" s="19"/>
      <c r="S67" s="23"/>
      <c r="T67" s="20"/>
      <c r="U67" s="20"/>
      <c r="V67" s="15"/>
      <c r="W67" s="20"/>
      <c r="X67" s="20"/>
      <c r="Y67" s="20"/>
      <c r="Z67" s="20"/>
      <c r="AA67" s="20"/>
      <c r="AB67" s="19"/>
      <c r="AC67" s="34"/>
      <c r="AD67" s="15"/>
      <c r="AE67" s="15"/>
      <c r="AF67" s="15"/>
      <c r="AG67" s="20"/>
      <c r="AH67" s="15"/>
      <c r="AI67" s="15"/>
      <c r="AJ67" s="20"/>
      <c r="AK67" s="19"/>
      <c r="AL67" s="20"/>
      <c r="AM67" s="18"/>
      <c r="AN67" s="15"/>
      <c r="AO67" s="15"/>
      <c r="AP67" s="15"/>
      <c r="AQ67" s="20"/>
      <c r="AR67" s="20"/>
      <c r="AS67" s="24"/>
      <c r="AT67" s="15"/>
      <c r="AU67" s="15"/>
      <c r="AV67" s="15"/>
      <c r="AW67" s="15"/>
      <c r="AX67" s="15"/>
      <c r="AY67" s="24"/>
      <c r="AZ67" s="24"/>
      <c r="BA67" s="15"/>
      <c r="BB67" s="15"/>
      <c r="BC67" s="18"/>
      <c r="BD67" s="15"/>
      <c r="BE67" s="18"/>
      <c r="BF67" s="25"/>
      <c r="BG67" s="26"/>
      <c r="BH67" s="26"/>
      <c r="BI67" s="33"/>
      <c r="BJ67" s="26"/>
      <c r="BK67" s="27"/>
    </row>
    <row r="68">
      <c r="A68" s="15"/>
      <c r="B68" s="40"/>
      <c r="C68" s="37"/>
      <c r="D68" s="31"/>
      <c r="E68" s="31"/>
      <c r="F68" s="31"/>
      <c r="G68" s="31"/>
      <c r="H68" s="20"/>
      <c r="I68" s="20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20"/>
      <c r="V68" s="15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43"/>
      <c r="BG68" s="45"/>
      <c r="BH68" s="45"/>
      <c r="BI68" s="45"/>
      <c r="BJ68" s="45"/>
    </row>
    <row r="69">
      <c r="A69" s="44"/>
      <c r="B69" s="40"/>
      <c r="C69" s="20"/>
      <c r="D69" s="15"/>
      <c r="E69" s="20"/>
      <c r="F69" s="20"/>
      <c r="G69" s="20"/>
      <c r="H69" s="20"/>
      <c r="I69" s="20"/>
      <c r="J69" s="20"/>
      <c r="K69" s="15"/>
      <c r="L69" s="19"/>
      <c r="M69" s="20"/>
      <c r="N69" s="23"/>
      <c r="O69" s="20"/>
      <c r="P69" s="15"/>
      <c r="Q69" s="15"/>
      <c r="R69" s="19"/>
      <c r="S69" s="23"/>
      <c r="T69" s="20"/>
      <c r="U69" s="20"/>
      <c r="V69" s="15"/>
      <c r="W69" s="50"/>
      <c r="X69" s="40"/>
      <c r="Y69" s="40"/>
      <c r="Z69" s="40"/>
      <c r="AA69" s="20"/>
      <c r="AB69" s="19"/>
      <c r="AC69" s="34"/>
      <c r="AD69" s="15"/>
      <c r="AE69" s="15"/>
      <c r="AF69" s="20"/>
      <c r="AG69" s="20"/>
      <c r="AH69" s="15"/>
      <c r="AI69" s="15"/>
      <c r="AJ69" s="20"/>
      <c r="AK69" s="23"/>
      <c r="AL69" s="20"/>
      <c r="AM69" s="40"/>
      <c r="AN69" s="40"/>
      <c r="AO69" s="40"/>
      <c r="AP69" s="40"/>
      <c r="AQ69" s="20"/>
      <c r="AR69" s="20"/>
      <c r="AS69" s="24"/>
      <c r="AT69" s="15"/>
      <c r="AU69" s="15"/>
      <c r="AV69" s="15"/>
      <c r="AW69" s="15"/>
      <c r="AX69" s="15"/>
      <c r="AY69" s="24"/>
      <c r="AZ69" s="24"/>
      <c r="BA69" s="15"/>
      <c r="BB69" s="15"/>
      <c r="BC69" s="15"/>
      <c r="BD69" s="15"/>
      <c r="BE69" s="18"/>
      <c r="BF69" s="25"/>
      <c r="BG69" s="26"/>
      <c r="BH69" s="26"/>
      <c r="BI69" s="26"/>
      <c r="BJ69" s="26"/>
      <c r="BK69" s="27"/>
    </row>
    <row r="70">
      <c r="A70" s="44"/>
      <c r="B70" s="40"/>
      <c r="C70" s="20"/>
      <c r="D70" s="15"/>
      <c r="E70" s="23"/>
      <c r="F70" s="20"/>
      <c r="G70" s="20"/>
      <c r="H70" s="20"/>
      <c r="I70" s="20"/>
      <c r="J70" s="20"/>
      <c r="K70" s="15"/>
      <c r="L70" s="19"/>
      <c r="M70" s="20"/>
      <c r="N70" s="23"/>
      <c r="O70" s="20"/>
      <c r="P70" s="15"/>
      <c r="Q70" s="15"/>
      <c r="R70" s="19"/>
      <c r="S70" s="23"/>
      <c r="T70" s="20"/>
      <c r="U70" s="20"/>
      <c r="V70" s="15"/>
      <c r="W70" s="20"/>
      <c r="X70" s="20"/>
      <c r="Y70" s="20"/>
      <c r="Z70" s="20"/>
      <c r="AA70" s="20"/>
      <c r="AB70" s="19"/>
      <c r="AC70" s="34"/>
      <c r="AD70" s="15"/>
      <c r="AE70" s="15"/>
      <c r="AF70" s="20"/>
      <c r="AG70" s="20"/>
      <c r="AH70" s="15"/>
      <c r="AI70" s="20"/>
      <c r="AJ70" s="20"/>
      <c r="AK70" s="19"/>
      <c r="AL70" s="20"/>
      <c r="AM70" s="18"/>
      <c r="AN70" s="15"/>
      <c r="AO70" s="15"/>
      <c r="AP70" s="15"/>
      <c r="AQ70" s="20"/>
      <c r="AR70" s="20"/>
      <c r="AS70" s="24"/>
      <c r="AT70" s="15"/>
      <c r="AU70" s="15"/>
      <c r="AV70" s="15"/>
      <c r="AW70" s="15"/>
      <c r="AX70" s="15"/>
      <c r="AY70" s="24"/>
      <c r="AZ70" s="24"/>
      <c r="BA70" s="15"/>
      <c r="BB70" s="15"/>
      <c r="BC70" s="15"/>
      <c r="BD70" s="15"/>
      <c r="BE70" s="18"/>
      <c r="BF70" s="25"/>
      <c r="BG70" s="26"/>
      <c r="BH70" s="26"/>
      <c r="BI70" s="26"/>
      <c r="BJ70" s="26"/>
      <c r="BK70" s="27"/>
    </row>
    <row r="71">
      <c r="A71" s="15"/>
      <c r="B71" s="40"/>
      <c r="C71" s="37"/>
      <c r="D71" s="31"/>
      <c r="E71" s="31"/>
      <c r="F71" s="31"/>
      <c r="G71" s="31"/>
      <c r="H71" s="31"/>
      <c r="I71" s="31"/>
      <c r="J71" s="31"/>
      <c r="K71" s="31"/>
      <c r="L71" s="31"/>
      <c r="M71" s="20"/>
      <c r="N71" s="31"/>
      <c r="O71" s="20"/>
      <c r="P71" s="15"/>
      <c r="Q71" s="15"/>
      <c r="R71" s="19"/>
      <c r="S71" s="31"/>
      <c r="T71" s="31"/>
      <c r="U71" s="31"/>
      <c r="V71" s="31"/>
      <c r="W71" s="20"/>
      <c r="X71" s="20"/>
      <c r="Y71" s="20"/>
      <c r="Z71" s="20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24"/>
      <c r="AZ71" s="24"/>
      <c r="BA71" s="15"/>
      <c r="BB71" s="15"/>
      <c r="BC71" s="31"/>
      <c r="BD71" s="31"/>
      <c r="BE71" s="18"/>
      <c r="BF71" s="25"/>
      <c r="BG71" s="26"/>
      <c r="BH71" s="32"/>
      <c r="BI71" s="26"/>
      <c r="BJ71" s="26"/>
      <c r="BK71" s="27"/>
    </row>
    <row r="72">
      <c r="A72" s="15"/>
      <c r="B72" s="40"/>
      <c r="C72" s="20"/>
      <c r="D72" s="15"/>
      <c r="E72" s="23"/>
      <c r="F72" s="20"/>
      <c r="G72" s="20"/>
      <c r="H72" s="20"/>
      <c r="I72" s="20"/>
      <c r="J72" s="20"/>
      <c r="K72" s="15"/>
      <c r="L72" s="19"/>
      <c r="M72" s="20"/>
      <c r="N72" s="23"/>
      <c r="O72" s="15"/>
      <c r="P72" s="15"/>
      <c r="Q72" s="15"/>
      <c r="R72" s="19"/>
      <c r="S72" s="23"/>
      <c r="T72" s="20"/>
      <c r="U72" s="20"/>
      <c r="V72" s="15"/>
      <c r="W72" s="20"/>
      <c r="X72" s="20"/>
      <c r="Y72" s="20"/>
      <c r="Z72" s="20"/>
      <c r="AA72" s="20"/>
      <c r="AB72" s="19"/>
      <c r="AC72" s="34"/>
      <c r="AD72" s="15"/>
      <c r="AE72" s="15"/>
      <c r="AF72" s="20"/>
      <c r="AG72" s="20"/>
      <c r="AH72" s="15"/>
      <c r="AI72" s="20"/>
      <c r="AJ72" s="20"/>
      <c r="AK72" s="19"/>
      <c r="AL72" s="20"/>
      <c r="AM72" s="18"/>
      <c r="AN72" s="15"/>
      <c r="AO72" s="15"/>
      <c r="AP72" s="15"/>
      <c r="AQ72" s="20"/>
      <c r="AR72" s="20"/>
      <c r="AS72" s="24"/>
      <c r="AT72" s="15"/>
      <c r="AU72" s="15"/>
      <c r="AV72" s="15"/>
      <c r="AW72" s="15"/>
      <c r="AX72" s="15"/>
      <c r="AY72" s="24"/>
      <c r="AZ72" s="24"/>
      <c r="BA72" s="15"/>
      <c r="BB72" s="15"/>
      <c r="BC72" s="15"/>
      <c r="BD72" s="15"/>
      <c r="BE72" s="18"/>
      <c r="BF72" s="25"/>
      <c r="BG72" s="26"/>
      <c r="BH72" s="26"/>
      <c r="BI72" s="26"/>
      <c r="BJ72" s="26"/>
      <c r="BK72" s="27"/>
    </row>
    <row r="73">
      <c r="A73" s="44"/>
      <c r="B73" s="40"/>
      <c r="C73" s="17"/>
      <c r="D73" s="15"/>
      <c r="E73" s="23"/>
      <c r="F73" s="20"/>
      <c r="G73" s="20"/>
      <c r="H73" s="20"/>
      <c r="I73" s="20"/>
      <c r="J73" s="20"/>
      <c r="K73" s="15"/>
      <c r="L73" s="19"/>
      <c r="M73" s="20"/>
      <c r="N73" s="23"/>
      <c r="O73" s="20"/>
      <c r="P73" s="15"/>
      <c r="Q73" s="15"/>
      <c r="R73" s="19"/>
      <c r="S73" s="23"/>
      <c r="T73" s="15"/>
      <c r="U73" s="20"/>
      <c r="V73" s="15"/>
      <c r="W73" s="20"/>
      <c r="X73" s="20"/>
      <c r="Y73" s="20"/>
      <c r="Z73" s="20"/>
      <c r="AA73" s="20"/>
      <c r="AB73" s="19"/>
      <c r="AC73" s="34"/>
      <c r="AD73" s="15"/>
      <c r="AE73" s="15"/>
      <c r="AF73" s="20"/>
      <c r="AG73" s="20"/>
      <c r="AH73" s="15"/>
      <c r="AI73" s="20"/>
      <c r="AJ73" s="20"/>
      <c r="AK73" s="19"/>
      <c r="AL73" s="20"/>
      <c r="AM73" s="40"/>
      <c r="AN73" s="40"/>
      <c r="AO73" s="40"/>
      <c r="AP73" s="40"/>
      <c r="AQ73" s="20"/>
      <c r="AR73" s="20"/>
      <c r="AS73" s="24"/>
      <c r="AT73" s="15"/>
      <c r="AU73" s="15"/>
      <c r="AV73" s="15"/>
      <c r="AW73" s="15"/>
      <c r="AX73" s="15"/>
      <c r="AY73" s="24"/>
      <c r="AZ73" s="15"/>
      <c r="BA73" s="15"/>
      <c r="BB73" s="15"/>
      <c r="BC73" s="18"/>
      <c r="BD73" s="15"/>
      <c r="BE73" s="18"/>
      <c r="BF73" s="41"/>
      <c r="BG73" s="26"/>
      <c r="BH73" s="26"/>
      <c r="BI73" s="26"/>
      <c r="BJ73" s="26"/>
      <c r="BK73" s="27"/>
    </row>
    <row r="74">
      <c r="A74" s="15"/>
      <c r="B74" s="40"/>
      <c r="C74" s="17"/>
      <c r="D74" s="15"/>
      <c r="E74" s="23"/>
      <c r="F74" s="31"/>
      <c r="G74" s="20"/>
      <c r="H74" s="31"/>
      <c r="I74" s="20"/>
      <c r="J74" s="20"/>
      <c r="K74" s="15"/>
      <c r="L74" s="19"/>
      <c r="M74" s="20"/>
      <c r="N74" s="15"/>
      <c r="O74" s="31"/>
      <c r="P74" s="31"/>
      <c r="Q74" s="31"/>
      <c r="R74" s="31"/>
      <c r="S74" s="31"/>
      <c r="T74" s="31"/>
      <c r="U74" s="31"/>
      <c r="V74" s="31"/>
      <c r="W74" s="20"/>
      <c r="X74" s="20"/>
      <c r="Y74" s="20"/>
      <c r="Z74" s="20"/>
      <c r="AA74" s="31"/>
      <c r="AB74" s="31"/>
      <c r="AC74" s="31"/>
      <c r="AD74" s="31"/>
      <c r="AE74" s="15"/>
      <c r="AF74" s="15"/>
      <c r="AG74" s="20"/>
      <c r="AH74" s="15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15"/>
      <c r="AV74" s="15"/>
      <c r="AW74" s="15"/>
      <c r="AX74" s="15"/>
      <c r="AY74" s="24"/>
      <c r="AZ74" s="24"/>
      <c r="BA74" s="31"/>
      <c r="BB74" s="31"/>
      <c r="BC74" s="31"/>
      <c r="BD74" s="31"/>
      <c r="BE74" s="18"/>
      <c r="BF74" s="25"/>
      <c r="BG74" s="26"/>
      <c r="BH74" s="26"/>
      <c r="BI74" s="26"/>
      <c r="BJ74" s="26"/>
      <c r="BK74" s="27"/>
    </row>
    <row r="75">
      <c r="A75" s="15"/>
      <c r="B75" s="40"/>
      <c r="C75" s="37"/>
      <c r="D75" s="31"/>
      <c r="E75" s="23"/>
      <c r="F75" s="31"/>
      <c r="G75" s="20"/>
      <c r="H75" s="20"/>
      <c r="I75" s="20"/>
      <c r="J75" s="20"/>
      <c r="K75" s="31"/>
      <c r="L75" s="31"/>
      <c r="M75" s="20"/>
      <c r="N75" s="31"/>
      <c r="O75" s="31"/>
      <c r="P75" s="31"/>
      <c r="Q75" s="31"/>
      <c r="R75" s="31"/>
      <c r="S75" s="31"/>
      <c r="T75" s="31"/>
      <c r="U75" s="20"/>
      <c r="V75" s="15"/>
      <c r="W75" s="31"/>
      <c r="X75" s="31"/>
      <c r="Y75" s="20"/>
      <c r="Z75" s="20"/>
      <c r="AA75" s="31"/>
      <c r="AB75" s="31"/>
      <c r="AC75" s="31"/>
      <c r="AD75" s="31"/>
      <c r="AE75" s="31"/>
      <c r="AF75" s="31"/>
      <c r="AG75" s="31"/>
      <c r="AH75" s="31"/>
      <c r="AI75" s="20"/>
      <c r="AJ75" s="20"/>
      <c r="AK75" s="23"/>
      <c r="AL75" s="20"/>
      <c r="AM75" s="18"/>
      <c r="AN75" s="15"/>
      <c r="AO75" s="15"/>
      <c r="AP75" s="15"/>
      <c r="AQ75" s="31"/>
      <c r="AR75" s="31"/>
      <c r="AS75" s="24"/>
      <c r="AT75" s="15"/>
      <c r="AU75" s="15"/>
      <c r="AV75" s="15"/>
      <c r="AW75" s="15"/>
      <c r="AX75" s="15"/>
      <c r="AY75" s="24"/>
      <c r="AZ75" s="24"/>
      <c r="BA75" s="31"/>
      <c r="BB75" s="31"/>
      <c r="BC75" s="31"/>
      <c r="BD75" s="31"/>
      <c r="BE75" s="18"/>
      <c r="BF75" s="25"/>
      <c r="BG75" s="26"/>
      <c r="BH75" s="26"/>
      <c r="BI75" s="26"/>
      <c r="BJ75" s="26"/>
      <c r="BK75" s="27"/>
    </row>
    <row r="76">
      <c r="A76" s="44"/>
      <c r="B76" s="40"/>
      <c r="C76" s="17"/>
      <c r="D76" s="15"/>
      <c r="E76" s="23"/>
      <c r="F76" s="40"/>
      <c r="G76" s="20"/>
      <c r="H76" s="20"/>
      <c r="I76" s="20"/>
      <c r="J76" s="40"/>
      <c r="K76" s="15"/>
      <c r="L76" s="40"/>
      <c r="M76" s="40"/>
      <c r="N76" s="15"/>
      <c r="O76" s="15"/>
      <c r="P76" s="15"/>
      <c r="Q76" s="15"/>
      <c r="R76" s="19"/>
      <c r="S76" s="23"/>
      <c r="T76" s="15"/>
      <c r="U76" s="20"/>
      <c r="V76" s="15"/>
      <c r="W76" s="20"/>
      <c r="X76" s="20"/>
      <c r="Y76" s="20"/>
      <c r="Z76" s="20"/>
      <c r="AA76" s="20"/>
      <c r="AB76" s="19"/>
      <c r="AC76" s="34"/>
      <c r="AD76" s="15"/>
      <c r="AE76" s="15"/>
      <c r="AF76" s="15"/>
      <c r="AG76" s="20"/>
      <c r="AH76" s="15"/>
      <c r="AI76" s="15"/>
      <c r="AJ76" s="40"/>
      <c r="AK76" s="19"/>
      <c r="AL76" s="20"/>
      <c r="AM76" s="18"/>
      <c r="AN76" s="15"/>
      <c r="AO76" s="15"/>
      <c r="AP76" s="15"/>
      <c r="AQ76" s="20"/>
      <c r="AR76" s="20"/>
      <c r="AS76" s="24"/>
      <c r="AT76" s="15"/>
      <c r="AU76" s="15"/>
      <c r="AV76" s="15"/>
      <c r="AW76" s="15"/>
      <c r="AX76" s="15"/>
      <c r="AY76" s="24"/>
      <c r="AZ76" s="24"/>
      <c r="BA76" s="50"/>
      <c r="BB76" s="50"/>
      <c r="BC76" s="15"/>
      <c r="BD76" s="15"/>
      <c r="BE76" s="18"/>
      <c r="BF76" s="25"/>
      <c r="BG76" s="26"/>
      <c r="BH76" s="32"/>
      <c r="BI76" s="33"/>
      <c r="BJ76" s="26"/>
      <c r="BK76" s="27"/>
    </row>
    <row r="77">
      <c r="A77" s="15"/>
      <c r="B77" s="40"/>
      <c r="C77" s="17"/>
      <c r="D77" s="15"/>
      <c r="E77" s="23"/>
      <c r="F77" s="20"/>
      <c r="G77" s="20"/>
      <c r="H77" s="20"/>
      <c r="I77" s="31"/>
      <c r="J77" s="31"/>
      <c r="K77" s="15"/>
      <c r="L77" s="19"/>
      <c r="M77" s="20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15"/>
      <c r="AF77" s="20"/>
      <c r="AG77" s="20"/>
      <c r="AH77" s="15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15"/>
      <c r="AV77" s="15"/>
      <c r="AW77" s="15"/>
      <c r="AX77" s="15"/>
      <c r="AY77" s="24"/>
      <c r="AZ77" s="24"/>
      <c r="BA77" s="15"/>
      <c r="BB77" s="15"/>
      <c r="BC77" s="15"/>
      <c r="BD77" s="15"/>
      <c r="BE77" s="18"/>
      <c r="BF77" s="25"/>
      <c r="BG77" s="26"/>
      <c r="BH77" s="26"/>
      <c r="BI77" s="26"/>
      <c r="BJ77" s="26"/>
      <c r="BK77" s="27"/>
    </row>
    <row r="78">
      <c r="A78" s="15"/>
      <c r="B78" s="40"/>
      <c r="C78" s="37"/>
      <c r="D78" s="31"/>
      <c r="E78" s="31"/>
      <c r="F78" s="31"/>
      <c r="G78" s="31"/>
      <c r="H78" s="20"/>
      <c r="I78" s="20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15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43"/>
      <c r="BG78" s="45"/>
      <c r="BH78" s="45"/>
      <c r="BI78" s="45"/>
      <c r="BJ78" s="45"/>
    </row>
    <row r="79">
      <c r="A79" s="15"/>
      <c r="B79" s="40"/>
      <c r="C79" s="37"/>
      <c r="D79" s="31"/>
      <c r="E79" s="31"/>
      <c r="F79" s="31"/>
      <c r="G79" s="20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43"/>
      <c r="BG79" s="45"/>
      <c r="BH79" s="45"/>
      <c r="BI79" s="45"/>
      <c r="BJ79" s="45"/>
    </row>
    <row r="80">
      <c r="A80" s="15"/>
      <c r="B80" s="40"/>
      <c r="C80" s="20"/>
      <c r="D80" s="15"/>
      <c r="E80" s="23"/>
      <c r="F80" s="20"/>
      <c r="G80" s="20"/>
      <c r="H80" s="31"/>
      <c r="I80" s="31"/>
      <c r="J80" s="31"/>
      <c r="K80" s="15"/>
      <c r="L80" s="19"/>
      <c r="M80" s="20"/>
      <c r="N80" s="31"/>
      <c r="O80" s="20"/>
      <c r="P80" s="15"/>
      <c r="Q80" s="15"/>
      <c r="R80" s="19"/>
      <c r="S80" s="23"/>
      <c r="T80" s="20"/>
      <c r="U80" s="20"/>
      <c r="V80" s="15"/>
      <c r="W80" s="31"/>
      <c r="X80" s="31"/>
      <c r="Y80" s="31"/>
      <c r="Z80" s="31"/>
      <c r="AA80" s="20"/>
      <c r="AB80" s="19"/>
      <c r="AC80" s="34"/>
      <c r="AD80" s="15"/>
      <c r="AE80" s="31"/>
      <c r="AF80" s="31"/>
      <c r="AG80" s="31"/>
      <c r="AH80" s="31"/>
      <c r="AI80" s="20"/>
      <c r="AJ80" s="20"/>
      <c r="AK80" s="23"/>
      <c r="AL80" s="20"/>
      <c r="AM80" s="31"/>
      <c r="AN80" s="31"/>
      <c r="AO80" s="31"/>
      <c r="AP80" s="31"/>
      <c r="AQ80" s="20"/>
      <c r="AR80" s="20"/>
      <c r="AS80" s="24"/>
      <c r="AT80" s="15"/>
      <c r="AU80" s="15"/>
      <c r="AV80" s="15"/>
      <c r="AW80" s="15"/>
      <c r="AX80" s="15"/>
      <c r="AY80" s="31"/>
      <c r="AZ80" s="31"/>
      <c r="BA80" s="15"/>
      <c r="BB80" s="15"/>
      <c r="BC80" s="15"/>
      <c r="BD80" s="15"/>
      <c r="BE80" s="18"/>
      <c r="BF80" s="25"/>
      <c r="BG80" s="26"/>
      <c r="BH80" s="26"/>
      <c r="BI80" s="26"/>
      <c r="BJ80" s="26"/>
      <c r="BK80" s="27"/>
    </row>
    <row r="81">
      <c r="A81" s="15"/>
      <c r="B81" s="40"/>
      <c r="C81" s="20"/>
      <c r="D81" s="15"/>
      <c r="E81" s="31"/>
      <c r="F81" s="31"/>
      <c r="G81" s="20"/>
      <c r="H81" s="20"/>
      <c r="I81" s="20"/>
      <c r="J81" s="20"/>
      <c r="K81" s="15"/>
      <c r="L81" s="19"/>
      <c r="M81" s="20"/>
      <c r="N81" s="23"/>
      <c r="O81" s="20"/>
      <c r="P81" s="15"/>
      <c r="Q81" s="15"/>
      <c r="R81" s="19"/>
      <c r="S81" s="23"/>
      <c r="T81" s="20"/>
      <c r="U81" s="20"/>
      <c r="V81" s="15"/>
      <c r="W81" s="20"/>
      <c r="X81" s="20"/>
      <c r="Y81" s="20"/>
      <c r="Z81" s="20"/>
      <c r="AA81" s="20"/>
      <c r="AB81" s="19"/>
      <c r="AC81" s="15"/>
      <c r="AD81" s="15"/>
      <c r="AE81" s="15"/>
      <c r="AF81" s="15"/>
      <c r="AG81" s="20"/>
      <c r="AH81" s="15"/>
      <c r="AI81" s="20"/>
      <c r="AJ81" s="20"/>
      <c r="AK81" s="23"/>
      <c r="AL81" s="20"/>
      <c r="AM81" s="18"/>
      <c r="AN81" s="15"/>
      <c r="AO81" s="15"/>
      <c r="AP81" s="18"/>
      <c r="AQ81" s="20"/>
      <c r="AR81" s="20"/>
      <c r="AS81" s="24"/>
      <c r="AT81" s="15"/>
      <c r="AU81" s="15"/>
      <c r="AV81" s="15"/>
      <c r="AW81" s="15"/>
      <c r="AX81" s="15"/>
      <c r="AY81" s="24"/>
      <c r="AZ81" s="24"/>
      <c r="BA81" s="15"/>
      <c r="BB81" s="15"/>
      <c r="BC81" s="18"/>
      <c r="BD81" s="15"/>
      <c r="BE81" s="18"/>
      <c r="BF81" s="41"/>
      <c r="BG81" s="26"/>
      <c r="BH81" s="26"/>
      <c r="BI81" s="26"/>
      <c r="BJ81" s="38"/>
      <c r="BK81" s="39"/>
    </row>
    <row r="82">
      <c r="A82" s="15"/>
      <c r="B82" s="40"/>
      <c r="C82" s="17"/>
      <c r="D82" s="15"/>
      <c r="E82" s="20"/>
      <c r="F82" s="20"/>
      <c r="G82" s="20"/>
      <c r="H82" s="20"/>
      <c r="I82" s="20"/>
      <c r="J82" s="20"/>
      <c r="K82" s="15"/>
      <c r="L82" s="19"/>
      <c r="M82" s="20"/>
      <c r="N82" s="23"/>
      <c r="O82" s="20"/>
      <c r="P82" s="15"/>
      <c r="Q82" s="15"/>
      <c r="R82" s="19"/>
      <c r="S82" s="23"/>
      <c r="T82" s="20"/>
      <c r="U82" s="20"/>
      <c r="V82" s="15"/>
      <c r="W82" s="20"/>
      <c r="X82" s="20"/>
      <c r="Y82" s="20"/>
      <c r="Z82" s="20"/>
      <c r="AA82" s="20"/>
      <c r="AB82" s="19"/>
      <c r="AC82" s="34"/>
      <c r="AD82" s="15"/>
      <c r="AE82" s="15"/>
      <c r="AF82" s="20"/>
      <c r="AG82" s="20"/>
      <c r="AH82" s="15"/>
      <c r="AI82" s="20"/>
      <c r="AJ82" s="20"/>
      <c r="AK82" s="19"/>
      <c r="AL82" s="20"/>
      <c r="AM82" s="18"/>
      <c r="AN82" s="15"/>
      <c r="AO82" s="15"/>
      <c r="AP82" s="15"/>
      <c r="AQ82" s="20"/>
      <c r="AR82" s="20"/>
      <c r="AS82" s="24"/>
      <c r="AT82" s="15"/>
      <c r="AU82" s="15"/>
      <c r="AV82" s="15"/>
      <c r="AW82" s="15"/>
      <c r="AX82" s="15"/>
      <c r="AY82" s="24"/>
      <c r="AZ82" s="24"/>
      <c r="BA82" s="15"/>
      <c r="BB82" s="15"/>
      <c r="BC82" s="15"/>
      <c r="BD82" s="15"/>
      <c r="BE82" s="18"/>
      <c r="BF82" s="25"/>
      <c r="BG82" s="26"/>
      <c r="BH82" s="26"/>
      <c r="BI82" s="26"/>
      <c r="BJ82" s="26"/>
      <c r="BK82" s="27"/>
    </row>
    <row r="83">
      <c r="A83" s="44"/>
      <c r="B83" s="40"/>
      <c r="C83" s="17"/>
      <c r="D83" s="15"/>
      <c r="E83" s="23"/>
      <c r="F83" s="20"/>
      <c r="G83" s="20"/>
      <c r="H83" s="20"/>
      <c r="I83" s="20"/>
      <c r="J83" s="20"/>
      <c r="K83" s="15"/>
      <c r="L83" s="19"/>
      <c r="M83" s="20"/>
      <c r="N83" s="23"/>
      <c r="O83" s="20"/>
      <c r="P83" s="15"/>
      <c r="Q83" s="15"/>
      <c r="R83" s="19"/>
      <c r="S83" s="15"/>
      <c r="T83" s="15"/>
      <c r="U83" s="20"/>
      <c r="V83" s="15"/>
      <c r="W83" s="20"/>
      <c r="X83" s="20"/>
      <c r="Y83" s="20"/>
      <c r="Z83" s="15"/>
      <c r="AA83" s="15"/>
      <c r="AB83" s="19"/>
      <c r="AC83" s="15"/>
      <c r="AD83" s="15"/>
      <c r="AE83" s="15"/>
      <c r="AF83" s="15"/>
      <c r="AG83" s="20"/>
      <c r="AH83" s="15"/>
      <c r="AI83" s="20"/>
      <c r="AJ83" s="20"/>
      <c r="AK83" s="19"/>
      <c r="AL83" s="20"/>
      <c r="AM83" s="18"/>
      <c r="AN83" s="15"/>
      <c r="AO83" s="15"/>
      <c r="AP83" s="15"/>
      <c r="AQ83" s="20"/>
      <c r="AR83" s="20"/>
      <c r="AS83" s="24"/>
      <c r="AT83" s="15"/>
      <c r="AU83" s="15"/>
      <c r="AV83" s="15"/>
      <c r="AW83" s="15"/>
      <c r="AX83" s="15"/>
      <c r="AY83" s="24"/>
      <c r="AZ83" s="24"/>
      <c r="BA83" s="15"/>
      <c r="BB83" s="15"/>
      <c r="BC83" s="18"/>
      <c r="BD83" s="15"/>
      <c r="BE83" s="18"/>
      <c r="BF83" s="25"/>
      <c r="BG83" s="26"/>
      <c r="BH83" s="26"/>
      <c r="BI83" s="26"/>
      <c r="BJ83" s="26"/>
      <c r="BK83" s="27"/>
    </row>
    <row r="84">
      <c r="A84" s="15"/>
      <c r="B84" s="40"/>
      <c r="C84" s="20"/>
      <c r="D84" s="15"/>
      <c r="E84" s="23"/>
      <c r="F84" s="31"/>
      <c r="G84" s="20"/>
      <c r="H84" s="20"/>
      <c r="I84" s="20"/>
      <c r="J84" s="20"/>
      <c r="K84" s="15"/>
      <c r="L84" s="19"/>
      <c r="M84" s="20"/>
      <c r="N84" s="31"/>
      <c r="O84" s="31"/>
      <c r="P84" s="31"/>
      <c r="Q84" s="31"/>
      <c r="R84" s="31"/>
      <c r="S84" s="15"/>
      <c r="T84" s="20"/>
      <c r="U84" s="20"/>
      <c r="V84" s="15"/>
      <c r="W84" s="20"/>
      <c r="X84" s="20"/>
      <c r="Y84" s="20"/>
      <c r="Z84" s="15"/>
      <c r="AA84" s="20"/>
      <c r="AB84" s="15"/>
      <c r="AC84" s="15"/>
      <c r="AD84" s="15"/>
      <c r="AE84" s="15"/>
      <c r="AF84" s="15"/>
      <c r="AG84" s="20"/>
      <c r="AH84" s="31"/>
      <c r="AI84" s="15"/>
      <c r="AJ84" s="20"/>
      <c r="AK84" s="19"/>
      <c r="AL84" s="20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43"/>
      <c r="BG84" s="45"/>
      <c r="BH84" s="45"/>
      <c r="BI84" s="45"/>
      <c r="BJ84" s="45"/>
    </row>
    <row r="85">
      <c r="A85" s="44"/>
      <c r="B85" s="40"/>
      <c r="C85" s="20"/>
      <c r="D85" s="15"/>
      <c r="E85" s="23"/>
      <c r="F85" s="20"/>
      <c r="G85" s="20"/>
      <c r="H85" s="20"/>
      <c r="I85" s="20"/>
      <c r="J85" s="20"/>
      <c r="K85" s="15"/>
      <c r="L85" s="19"/>
      <c r="M85" s="20"/>
      <c r="N85" s="23"/>
      <c r="O85" s="20"/>
      <c r="P85" s="15"/>
      <c r="Q85" s="15"/>
      <c r="R85" s="19"/>
      <c r="S85" s="23"/>
      <c r="T85" s="20"/>
      <c r="U85" s="20"/>
      <c r="V85" s="15"/>
      <c r="W85" s="20"/>
      <c r="X85" s="20"/>
      <c r="Y85" s="20"/>
      <c r="Z85" s="20"/>
      <c r="AA85" s="20"/>
      <c r="AB85" s="19"/>
      <c r="AC85" s="34"/>
      <c r="AD85" s="15"/>
      <c r="AE85" s="15"/>
      <c r="AF85" s="15"/>
      <c r="AG85" s="20"/>
      <c r="AH85" s="15"/>
      <c r="AI85" s="20"/>
      <c r="AJ85" s="20"/>
      <c r="AK85" s="19"/>
      <c r="AL85" s="20"/>
      <c r="AM85" s="18"/>
      <c r="AN85" s="15"/>
      <c r="AO85" s="15"/>
      <c r="AP85" s="15"/>
      <c r="AQ85" s="20"/>
      <c r="AR85" s="20"/>
      <c r="AS85" s="24"/>
      <c r="AT85" s="15"/>
      <c r="AU85" s="15"/>
      <c r="AV85" s="15"/>
      <c r="AW85" s="15"/>
      <c r="AX85" s="15"/>
      <c r="AY85" s="24"/>
      <c r="AZ85" s="24"/>
      <c r="BA85" s="50"/>
      <c r="BB85" s="53"/>
      <c r="BC85" s="18"/>
      <c r="BD85" s="46"/>
      <c r="BE85" s="18"/>
      <c r="BF85" s="25"/>
      <c r="BG85" s="26"/>
      <c r="BH85" s="32"/>
      <c r="BI85" s="26"/>
      <c r="BJ85" s="38"/>
      <c r="BK85" s="39"/>
    </row>
    <row r="86">
      <c r="A86" s="44"/>
      <c r="B86" s="40"/>
      <c r="C86" s="20"/>
      <c r="D86" s="15"/>
      <c r="E86" s="23"/>
      <c r="F86" s="20"/>
      <c r="G86" s="20"/>
      <c r="H86" s="20"/>
      <c r="I86" s="20"/>
      <c r="J86" s="20"/>
      <c r="K86" s="15"/>
      <c r="L86" s="19"/>
      <c r="M86" s="20"/>
      <c r="N86" s="23"/>
      <c r="O86" s="20"/>
      <c r="P86" s="15"/>
      <c r="Q86" s="15"/>
      <c r="R86" s="19"/>
      <c r="S86" s="23"/>
      <c r="T86" s="20"/>
      <c r="U86" s="20"/>
      <c r="V86" s="15"/>
      <c r="W86" s="20"/>
      <c r="X86" s="20"/>
      <c r="Y86" s="20"/>
      <c r="Z86" s="20"/>
      <c r="AA86" s="20"/>
      <c r="AB86" s="19"/>
      <c r="AC86" s="34"/>
      <c r="AD86" s="15"/>
      <c r="AE86" s="15"/>
      <c r="AF86" s="20"/>
      <c r="AG86" s="20"/>
      <c r="AH86" s="15"/>
      <c r="AI86" s="20"/>
      <c r="AJ86" s="20"/>
      <c r="AK86" s="23"/>
      <c r="AL86" s="20"/>
      <c r="AM86" s="18"/>
      <c r="AN86" s="15"/>
      <c r="AO86" s="15"/>
      <c r="AP86" s="15"/>
      <c r="AQ86" s="20"/>
      <c r="AR86" s="20"/>
      <c r="AS86" s="24"/>
      <c r="AT86" s="15"/>
      <c r="AU86" s="15"/>
      <c r="AV86" s="15"/>
      <c r="AW86" s="15"/>
      <c r="AX86" s="15"/>
      <c r="AY86" s="24"/>
      <c r="AZ86" s="24"/>
      <c r="BA86" s="15"/>
      <c r="BB86" s="15"/>
      <c r="BC86" s="15"/>
      <c r="BD86" s="15"/>
      <c r="BE86" s="18"/>
      <c r="BF86" s="25"/>
      <c r="BG86" s="26"/>
      <c r="BH86" s="26"/>
      <c r="BI86" s="26"/>
      <c r="BJ86" s="26"/>
      <c r="BK86" s="27"/>
    </row>
    <row r="87">
      <c r="A87" s="15"/>
      <c r="B87" s="40"/>
      <c r="C87" s="20"/>
      <c r="D87" s="15"/>
      <c r="E87" s="23"/>
      <c r="F87" s="20"/>
      <c r="G87" s="20"/>
      <c r="H87" s="20"/>
      <c r="I87" s="20"/>
      <c r="J87" s="20"/>
      <c r="K87" s="15"/>
      <c r="L87" s="19"/>
      <c r="M87" s="20"/>
      <c r="N87" s="23"/>
      <c r="O87" s="15"/>
      <c r="P87" s="15"/>
      <c r="Q87" s="15"/>
      <c r="R87" s="19"/>
      <c r="S87" s="23"/>
      <c r="T87" s="20"/>
      <c r="U87" s="20"/>
      <c r="V87" s="15"/>
      <c r="W87" s="20"/>
      <c r="X87" s="20"/>
      <c r="Y87" s="20"/>
      <c r="Z87" s="20"/>
      <c r="AA87" s="20"/>
      <c r="AB87" s="19"/>
      <c r="AC87" s="34"/>
      <c r="AD87" s="15"/>
      <c r="AE87" s="15"/>
      <c r="AF87" s="20"/>
      <c r="AG87" s="20"/>
      <c r="AH87" s="15"/>
      <c r="AI87" s="20"/>
      <c r="AJ87" s="20"/>
      <c r="AK87" s="19"/>
      <c r="AL87" s="20"/>
      <c r="AM87" s="18"/>
      <c r="AN87" s="15"/>
      <c r="AO87" s="15"/>
      <c r="AP87" s="18"/>
      <c r="AQ87" s="20"/>
      <c r="AR87" s="20"/>
      <c r="AS87" s="15"/>
      <c r="AT87" s="15"/>
      <c r="AU87" s="15"/>
      <c r="AV87" s="15"/>
      <c r="AW87" s="15"/>
      <c r="AX87" s="15"/>
      <c r="AY87" s="24"/>
      <c r="AZ87" s="24"/>
      <c r="BA87" s="15"/>
      <c r="BB87" s="46"/>
      <c r="BC87" s="15"/>
      <c r="BD87" s="46"/>
      <c r="BE87" s="18"/>
      <c r="BF87" s="25"/>
      <c r="BG87" s="26"/>
      <c r="BH87" s="26"/>
      <c r="BI87" s="26"/>
      <c r="BJ87" s="26"/>
      <c r="BK87" s="27"/>
    </row>
    <row r="88">
      <c r="A88" s="44"/>
      <c r="B88" s="40"/>
      <c r="C88" s="17"/>
      <c r="D88" s="15"/>
      <c r="E88" s="23"/>
      <c r="F88" s="20"/>
      <c r="G88" s="20"/>
      <c r="H88" s="20"/>
      <c r="I88" s="20"/>
      <c r="J88" s="20"/>
      <c r="K88" s="15"/>
      <c r="L88" s="19"/>
      <c r="M88" s="20"/>
      <c r="N88" s="23"/>
      <c r="O88" s="15"/>
      <c r="P88" s="15"/>
      <c r="Q88" s="15"/>
      <c r="R88" s="19"/>
      <c r="S88" s="23"/>
      <c r="T88" s="15"/>
      <c r="U88" s="20"/>
      <c r="V88" s="15"/>
      <c r="W88" s="20"/>
      <c r="X88" s="20"/>
      <c r="Y88" s="20"/>
      <c r="Z88" s="20"/>
      <c r="AA88" s="20"/>
      <c r="AB88" s="19"/>
      <c r="AC88" s="34"/>
      <c r="AD88" s="15"/>
      <c r="AE88" s="15"/>
      <c r="AF88" s="15"/>
      <c r="AG88" s="20"/>
      <c r="AH88" s="15"/>
      <c r="AI88" s="20"/>
      <c r="AJ88" s="20"/>
      <c r="AK88" s="19"/>
      <c r="AL88" s="20"/>
      <c r="AM88" s="18"/>
      <c r="AN88" s="15"/>
      <c r="AO88" s="15"/>
      <c r="AP88" s="15"/>
      <c r="AQ88" s="40"/>
      <c r="AR88" s="40"/>
      <c r="AS88" s="50"/>
      <c r="AT88" s="50"/>
      <c r="AU88" s="15"/>
      <c r="AV88" s="15"/>
      <c r="AW88" s="15"/>
      <c r="AX88" s="15"/>
      <c r="AY88" s="24"/>
      <c r="AZ88" s="24"/>
      <c r="BA88" s="15"/>
      <c r="BB88" s="46"/>
      <c r="BC88" s="18"/>
      <c r="BD88" s="15"/>
      <c r="BE88" s="18"/>
      <c r="BF88" s="25"/>
      <c r="BG88" s="32"/>
      <c r="BH88" s="26"/>
      <c r="BI88" s="33"/>
      <c r="BJ88" s="26"/>
      <c r="BK88" s="27"/>
    </row>
    <row r="89">
      <c r="A89" s="44"/>
      <c r="B89" s="40"/>
      <c r="C89" s="17"/>
      <c r="D89" s="15"/>
      <c r="E89" s="23"/>
      <c r="F89" s="20"/>
      <c r="G89" s="20"/>
      <c r="H89" s="20"/>
      <c r="I89" s="20"/>
      <c r="J89" s="20"/>
      <c r="K89" s="15"/>
      <c r="L89" s="19"/>
      <c r="M89" s="20"/>
      <c r="N89" s="23"/>
      <c r="O89" s="15"/>
      <c r="P89" s="15"/>
      <c r="Q89" s="15"/>
      <c r="R89" s="19"/>
      <c r="S89" s="15"/>
      <c r="T89" s="15"/>
      <c r="U89" s="20"/>
      <c r="V89" s="15"/>
      <c r="W89" s="20"/>
      <c r="X89" s="20"/>
      <c r="Y89" s="20"/>
      <c r="Z89" s="20"/>
      <c r="AA89" s="20"/>
      <c r="AB89" s="19"/>
      <c r="AC89" s="15"/>
      <c r="AD89" s="15"/>
      <c r="AE89" s="15"/>
      <c r="AF89" s="15"/>
      <c r="AG89" s="20"/>
      <c r="AH89" s="15"/>
      <c r="AI89" s="20"/>
      <c r="AJ89" s="20"/>
      <c r="AK89" s="23"/>
      <c r="AL89" s="20"/>
      <c r="AM89" s="18"/>
      <c r="AN89" s="15"/>
      <c r="AO89" s="15"/>
      <c r="AP89" s="18"/>
      <c r="AQ89" s="20"/>
      <c r="AR89" s="20"/>
      <c r="AS89" s="24"/>
      <c r="AT89" s="15"/>
      <c r="AU89" s="15"/>
      <c r="AV89" s="15"/>
      <c r="AW89" s="15"/>
      <c r="AX89" s="15"/>
      <c r="AY89" s="24"/>
      <c r="AZ89" s="24"/>
      <c r="BA89" s="15"/>
      <c r="BB89" s="15"/>
      <c r="BC89" s="18"/>
      <c r="BD89" s="15"/>
      <c r="BE89" s="18"/>
      <c r="BF89" s="25"/>
      <c r="BG89" s="26"/>
      <c r="BH89" s="32"/>
      <c r="BI89" s="26"/>
      <c r="BJ89" s="38"/>
      <c r="BK89" s="39"/>
    </row>
    <row r="90">
      <c r="A90" s="15"/>
      <c r="B90" s="40"/>
      <c r="C90" s="17"/>
      <c r="D90" s="15"/>
      <c r="E90" s="23"/>
      <c r="F90" s="20"/>
      <c r="G90" s="20"/>
      <c r="H90" s="20"/>
      <c r="I90" s="20"/>
      <c r="J90" s="20"/>
      <c r="K90" s="15"/>
      <c r="L90" s="19"/>
      <c r="M90" s="20"/>
      <c r="N90" s="23"/>
      <c r="O90" s="20"/>
      <c r="P90" s="15"/>
      <c r="Q90" s="15"/>
      <c r="R90" s="19"/>
      <c r="S90" s="23"/>
      <c r="T90" s="20"/>
      <c r="U90" s="20"/>
      <c r="V90" s="15"/>
      <c r="W90" s="20"/>
      <c r="X90" s="20"/>
      <c r="Y90" s="20"/>
      <c r="Z90" s="20"/>
      <c r="AA90" s="20"/>
      <c r="AB90" s="19"/>
      <c r="AC90" s="34"/>
      <c r="AD90" s="15"/>
      <c r="AE90" s="15"/>
      <c r="AF90" s="15"/>
      <c r="AG90" s="20"/>
      <c r="AH90" s="15"/>
      <c r="AI90" s="15"/>
      <c r="AJ90" s="20"/>
      <c r="AK90" s="19"/>
      <c r="AL90" s="20"/>
      <c r="AM90" s="18"/>
      <c r="AN90" s="15"/>
      <c r="AO90" s="15"/>
      <c r="AP90" s="15"/>
      <c r="AQ90" s="20"/>
      <c r="AR90" s="20"/>
      <c r="AS90" s="24"/>
      <c r="AT90" s="15"/>
      <c r="AU90" s="15"/>
      <c r="AV90" s="15"/>
      <c r="AW90" s="15"/>
      <c r="AX90" s="15"/>
      <c r="AY90" s="24"/>
      <c r="AZ90" s="24"/>
      <c r="BA90" s="15"/>
      <c r="BB90" s="15"/>
      <c r="BC90" s="18"/>
      <c r="BD90" s="46"/>
      <c r="BE90" s="18"/>
      <c r="BF90" s="25"/>
      <c r="BG90" s="26"/>
      <c r="BH90" s="26"/>
      <c r="BI90" s="26"/>
      <c r="BJ90" s="26"/>
      <c r="BK90" s="27"/>
    </row>
    <row r="91">
      <c r="A91" s="44"/>
      <c r="B91" s="40"/>
      <c r="C91" s="20"/>
      <c r="D91" s="15"/>
      <c r="E91" s="20"/>
      <c r="F91" s="20"/>
      <c r="G91" s="20"/>
      <c r="H91" s="20"/>
      <c r="I91" s="20"/>
      <c r="J91" s="20"/>
      <c r="K91" s="15"/>
      <c r="L91" s="19"/>
      <c r="M91" s="20"/>
      <c r="N91" s="23"/>
      <c r="O91" s="20"/>
      <c r="P91" s="15"/>
      <c r="Q91" s="15"/>
      <c r="R91" s="19"/>
      <c r="S91" s="23"/>
      <c r="T91" s="20"/>
      <c r="U91" s="20"/>
      <c r="V91" s="15"/>
      <c r="W91" s="20"/>
      <c r="X91" s="20"/>
      <c r="Y91" s="20"/>
      <c r="Z91" s="20"/>
      <c r="AA91" s="20"/>
      <c r="AB91" s="19"/>
      <c r="AC91" s="34"/>
      <c r="AD91" s="15"/>
      <c r="AE91" s="15"/>
      <c r="AF91" s="20"/>
      <c r="AG91" s="20"/>
      <c r="AH91" s="15"/>
      <c r="AI91" s="20"/>
      <c r="AJ91" s="20"/>
      <c r="AK91" s="19"/>
      <c r="AL91" s="20"/>
      <c r="AM91" s="18"/>
      <c r="AN91" s="15"/>
      <c r="AO91" s="15"/>
      <c r="AP91" s="15"/>
      <c r="AQ91" s="20"/>
      <c r="AR91" s="20"/>
      <c r="AS91" s="24"/>
      <c r="AT91" s="15"/>
      <c r="AU91" s="15"/>
      <c r="AV91" s="15"/>
      <c r="AW91" s="15"/>
      <c r="AX91" s="15"/>
      <c r="AY91" s="24"/>
      <c r="AZ91" s="24"/>
      <c r="BA91" s="15"/>
      <c r="BB91" s="15"/>
      <c r="BC91" s="18"/>
      <c r="BD91" s="15"/>
      <c r="BE91" s="18"/>
      <c r="BF91" s="25"/>
      <c r="BG91" s="26"/>
      <c r="BH91" s="26"/>
      <c r="BI91" s="26"/>
      <c r="BJ91" s="26"/>
      <c r="BK91" s="27"/>
    </row>
    <row r="92">
      <c r="A92" s="15"/>
      <c r="B92" s="40"/>
      <c r="C92" s="37"/>
      <c r="D92" s="31"/>
      <c r="E92" s="31"/>
      <c r="F92" s="31"/>
      <c r="G92" s="31"/>
      <c r="H92" s="20"/>
      <c r="I92" s="20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20"/>
      <c r="AB92" s="19"/>
      <c r="AC92" s="34"/>
      <c r="AD92" s="15"/>
      <c r="AE92" s="31"/>
      <c r="AF92" s="31"/>
      <c r="AG92" s="31"/>
      <c r="AH92" s="31"/>
      <c r="AI92" s="31"/>
      <c r="AJ92" s="31"/>
      <c r="AK92" s="31"/>
      <c r="AL92" s="31"/>
      <c r="AM92" s="18"/>
      <c r="AN92" s="15"/>
      <c r="AO92" s="15"/>
      <c r="AP92" s="15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43"/>
      <c r="BG92" s="45"/>
      <c r="BH92" s="45"/>
      <c r="BI92" s="26"/>
      <c r="BJ92" s="38"/>
      <c r="BK92" s="39"/>
    </row>
    <row r="93">
      <c r="A93" s="15"/>
      <c r="B93" s="40"/>
      <c r="C93" s="37"/>
      <c r="D93" s="15"/>
      <c r="E93" s="20"/>
      <c r="F93" s="31"/>
      <c r="G93" s="20"/>
      <c r="H93" s="20"/>
      <c r="I93" s="20"/>
      <c r="J93" s="20"/>
      <c r="K93" s="15"/>
      <c r="L93" s="19"/>
      <c r="M93" s="20"/>
      <c r="N93" s="23"/>
      <c r="O93" s="15"/>
      <c r="P93" s="15"/>
      <c r="Q93" s="15"/>
      <c r="R93" s="19"/>
      <c r="S93" s="15"/>
      <c r="T93" s="15"/>
      <c r="U93" s="20"/>
      <c r="V93" s="15"/>
      <c r="W93" s="31"/>
      <c r="X93" s="31"/>
      <c r="Y93" s="31"/>
      <c r="Z93" s="31"/>
      <c r="AA93" s="20"/>
      <c r="AB93" s="19"/>
      <c r="AC93" s="34"/>
      <c r="AD93" s="15"/>
      <c r="AE93" s="15"/>
      <c r="AF93" s="20"/>
      <c r="AG93" s="20"/>
      <c r="AH93" s="15"/>
      <c r="AI93" s="20"/>
      <c r="AJ93" s="15"/>
      <c r="AK93" s="23"/>
      <c r="AL93" s="20"/>
      <c r="AM93" s="18"/>
      <c r="AN93" s="15"/>
      <c r="AO93" s="15"/>
      <c r="AP93" s="18"/>
      <c r="AQ93" s="20"/>
      <c r="AR93" s="20"/>
      <c r="AS93" s="15"/>
      <c r="AT93" s="15"/>
      <c r="AU93" s="15"/>
      <c r="AV93" s="15"/>
      <c r="AW93" s="15"/>
      <c r="AX93" s="15"/>
      <c r="AY93" s="31"/>
      <c r="AZ93" s="31"/>
      <c r="BA93" s="15"/>
      <c r="BB93" s="46"/>
      <c r="BC93" s="15"/>
      <c r="BD93" s="46"/>
      <c r="BE93" s="18"/>
      <c r="BF93" s="25"/>
      <c r="BG93" s="26"/>
      <c r="BH93" s="26"/>
      <c r="BI93" s="26"/>
      <c r="BJ93" s="38"/>
      <c r="BK93" s="39"/>
    </row>
    <row r="94">
      <c r="A94" s="15"/>
      <c r="B94" s="40"/>
      <c r="C94" s="17"/>
      <c r="D94" s="15"/>
      <c r="E94" s="23"/>
      <c r="F94" s="20"/>
      <c r="G94" s="20"/>
      <c r="H94" s="20"/>
      <c r="I94" s="20"/>
      <c r="J94" s="20"/>
      <c r="K94" s="15"/>
      <c r="L94" s="19"/>
      <c r="M94" s="20"/>
      <c r="N94" s="23"/>
      <c r="O94" s="15"/>
      <c r="P94" s="15"/>
      <c r="Q94" s="15"/>
      <c r="R94" s="19"/>
      <c r="S94" s="23"/>
      <c r="T94" s="20"/>
      <c r="U94" s="20"/>
      <c r="V94" s="15"/>
      <c r="W94" s="20"/>
      <c r="X94" s="20"/>
      <c r="Y94" s="20"/>
      <c r="Z94" s="20"/>
      <c r="AA94" s="20"/>
      <c r="AB94" s="19"/>
      <c r="AC94" s="34"/>
      <c r="AD94" s="15"/>
      <c r="AE94" s="15"/>
      <c r="AF94" s="15"/>
      <c r="AG94" s="20"/>
      <c r="AH94" s="15"/>
      <c r="AI94" s="15"/>
      <c r="AJ94" s="20"/>
      <c r="AK94" s="19"/>
      <c r="AL94" s="20"/>
      <c r="AM94" s="18"/>
      <c r="AN94" s="15"/>
      <c r="AO94" s="15"/>
      <c r="AP94" s="15"/>
      <c r="AQ94" s="20"/>
      <c r="AR94" s="20"/>
      <c r="AS94" s="24"/>
      <c r="AT94" s="15"/>
      <c r="AU94" s="15"/>
      <c r="AV94" s="15"/>
      <c r="AW94" s="15"/>
      <c r="AX94" s="15"/>
      <c r="AY94" s="24"/>
      <c r="AZ94" s="24"/>
      <c r="BA94" s="15"/>
      <c r="BB94" s="46"/>
      <c r="BC94" s="31"/>
      <c r="BD94" s="31"/>
      <c r="BE94" s="18"/>
      <c r="BF94" s="25"/>
      <c r="BG94" s="26"/>
      <c r="BH94" s="32"/>
      <c r="BI94" s="26"/>
      <c r="BJ94" s="38"/>
      <c r="BK94" s="39"/>
    </row>
    <row r="95">
      <c r="A95" s="15"/>
      <c r="B95" s="40"/>
      <c r="C95" s="20"/>
      <c r="D95" s="15"/>
      <c r="E95" s="23"/>
      <c r="F95" s="20"/>
      <c r="G95" s="20"/>
      <c r="H95" s="20"/>
      <c r="I95" s="20"/>
      <c r="J95" s="20"/>
      <c r="K95" s="15"/>
      <c r="L95" s="19"/>
      <c r="M95" s="20"/>
      <c r="N95" s="23"/>
      <c r="O95" s="20"/>
      <c r="P95" s="15"/>
      <c r="Q95" s="15"/>
      <c r="R95" s="19"/>
      <c r="S95" s="23"/>
      <c r="T95" s="20"/>
      <c r="U95" s="20"/>
      <c r="V95" s="15"/>
      <c r="W95" s="20"/>
      <c r="X95" s="20"/>
      <c r="Y95" s="20"/>
      <c r="Z95" s="15"/>
      <c r="AA95" s="20"/>
      <c r="AB95" s="19"/>
      <c r="AC95" s="34"/>
      <c r="AD95" s="15"/>
      <c r="AE95" s="15"/>
      <c r="AF95" s="20"/>
      <c r="AG95" s="20"/>
      <c r="AH95" s="15"/>
      <c r="AI95" s="15"/>
      <c r="AJ95" s="20"/>
      <c r="AK95" s="23"/>
      <c r="AL95" s="20"/>
      <c r="AM95" s="18"/>
      <c r="AN95" s="15"/>
      <c r="AO95" s="15"/>
      <c r="AP95" s="18"/>
      <c r="AQ95" s="20"/>
      <c r="AR95" s="20"/>
      <c r="AS95" s="24"/>
      <c r="AT95" s="15"/>
      <c r="AU95" s="15"/>
      <c r="AV95" s="15"/>
      <c r="AW95" s="15"/>
      <c r="AX95" s="15"/>
      <c r="AY95" s="24"/>
      <c r="AZ95" s="24"/>
      <c r="BA95" s="15"/>
      <c r="BB95" s="46"/>
      <c r="BC95" s="18"/>
      <c r="BD95" s="15"/>
      <c r="BE95" s="18"/>
      <c r="BF95" s="25"/>
      <c r="BG95" s="26"/>
      <c r="BH95" s="32"/>
      <c r="BI95" s="26"/>
      <c r="BJ95" s="26"/>
      <c r="BK95" s="27"/>
    </row>
    <row r="96">
      <c r="A96" s="15"/>
      <c r="B96" s="40"/>
      <c r="C96" s="20"/>
      <c r="D96" s="15"/>
      <c r="E96" s="23"/>
      <c r="F96" s="20"/>
      <c r="G96" s="20"/>
      <c r="H96" s="20"/>
      <c r="I96" s="20"/>
      <c r="J96" s="20"/>
      <c r="K96" s="15"/>
      <c r="L96" s="19"/>
      <c r="M96" s="20"/>
      <c r="N96" s="31"/>
      <c r="O96" s="20"/>
      <c r="P96" s="15"/>
      <c r="Q96" s="15"/>
      <c r="R96" s="19"/>
      <c r="S96" s="23"/>
      <c r="T96" s="20"/>
      <c r="U96" s="20"/>
      <c r="V96" s="15"/>
      <c r="W96" s="20"/>
      <c r="X96" s="20"/>
      <c r="Y96" s="20"/>
      <c r="Z96" s="20"/>
      <c r="AA96" s="20"/>
      <c r="AB96" s="19"/>
      <c r="AC96" s="34"/>
      <c r="AD96" s="15"/>
      <c r="AE96" s="15"/>
      <c r="AF96" s="20"/>
      <c r="AG96" s="20"/>
      <c r="AH96" s="15"/>
      <c r="AI96" s="20"/>
      <c r="AJ96" s="20"/>
      <c r="AK96" s="19"/>
      <c r="AL96" s="20"/>
      <c r="AM96" s="18"/>
      <c r="AN96" s="15"/>
      <c r="AO96" s="15"/>
      <c r="AP96" s="15"/>
      <c r="AQ96" s="20"/>
      <c r="AR96" s="20"/>
      <c r="AS96" s="24"/>
      <c r="AT96" s="15"/>
      <c r="AU96" s="15"/>
      <c r="AV96" s="15"/>
      <c r="AW96" s="15"/>
      <c r="AX96" s="15"/>
      <c r="AY96" s="24"/>
      <c r="AZ96" s="24"/>
      <c r="BA96" s="15"/>
      <c r="BB96" s="15"/>
      <c r="BC96" s="18"/>
      <c r="BD96" s="15"/>
      <c r="BE96" s="18"/>
      <c r="BF96" s="25"/>
      <c r="BG96" s="26"/>
      <c r="BH96" s="26"/>
      <c r="BI96" s="26"/>
      <c r="BJ96" s="26"/>
      <c r="BK96" s="27"/>
    </row>
    <row r="97">
      <c r="A97" s="15"/>
      <c r="B97" s="40"/>
      <c r="C97" s="20"/>
      <c r="D97" s="15"/>
      <c r="E97" s="23"/>
      <c r="F97" s="20"/>
      <c r="G97" s="20"/>
      <c r="H97" s="20"/>
      <c r="I97" s="20"/>
      <c r="J97" s="20"/>
      <c r="K97" s="15"/>
      <c r="L97" s="19"/>
      <c r="M97" s="19"/>
      <c r="N97" s="23"/>
      <c r="O97" s="20"/>
      <c r="P97" s="15"/>
      <c r="Q97" s="15"/>
      <c r="R97" s="19"/>
      <c r="S97" s="23"/>
      <c r="T97" s="20"/>
      <c r="U97" s="20"/>
      <c r="V97" s="15"/>
      <c r="W97" s="20"/>
      <c r="X97" s="20"/>
      <c r="Y97" s="20"/>
      <c r="Z97" s="20"/>
      <c r="AA97" s="20"/>
      <c r="AB97" s="19"/>
      <c r="AC97" s="34"/>
      <c r="AD97" s="15"/>
      <c r="AE97" s="15"/>
      <c r="AF97" s="20"/>
      <c r="AG97" s="20"/>
      <c r="AH97" s="15"/>
      <c r="AI97" s="20"/>
      <c r="AJ97" s="20"/>
      <c r="AK97" s="23"/>
      <c r="AL97" s="20"/>
      <c r="AM97" s="18"/>
      <c r="AN97" s="15"/>
      <c r="AO97" s="15"/>
      <c r="AP97" s="15"/>
      <c r="AQ97" s="20"/>
      <c r="AR97" s="20"/>
      <c r="AS97" s="24"/>
      <c r="AT97" s="15"/>
      <c r="AU97" s="15"/>
      <c r="AV97" s="15"/>
      <c r="AW97" s="15"/>
      <c r="AX97" s="15"/>
      <c r="AY97" s="24"/>
      <c r="AZ97" s="24"/>
      <c r="BA97" s="15"/>
      <c r="BB97" s="15"/>
      <c r="BC97" s="18"/>
      <c r="BD97" s="46"/>
      <c r="BE97" s="18"/>
      <c r="BF97" s="54"/>
      <c r="BG97" s="26"/>
      <c r="BH97" s="26"/>
      <c r="BI97" s="26"/>
      <c r="BJ97" s="26"/>
      <c r="BK97" s="27"/>
    </row>
    <row r="98">
      <c r="A98" s="15"/>
      <c r="B98" s="40"/>
      <c r="C98" s="20"/>
      <c r="D98" s="15"/>
      <c r="E98" s="23"/>
      <c r="F98" s="20"/>
      <c r="G98" s="20"/>
      <c r="H98" s="20"/>
      <c r="I98" s="20"/>
      <c r="J98" s="31"/>
      <c r="K98" s="15"/>
      <c r="L98" s="19"/>
      <c r="M98" s="20"/>
      <c r="N98" s="23"/>
      <c r="O98" s="20"/>
      <c r="P98" s="15"/>
      <c r="Q98" s="15"/>
      <c r="R98" s="19"/>
      <c r="S98" s="23"/>
      <c r="T98" s="20"/>
      <c r="U98" s="20"/>
      <c r="V98" s="15"/>
      <c r="W98" s="20"/>
      <c r="X98" s="20"/>
      <c r="Y98" s="20"/>
      <c r="Z98" s="20"/>
      <c r="AA98" s="20"/>
      <c r="AB98" s="19"/>
      <c r="AC98" s="34"/>
      <c r="AD98" s="15"/>
      <c r="AE98" s="15"/>
      <c r="AF98" s="20"/>
      <c r="AG98" s="20"/>
      <c r="AH98" s="15"/>
      <c r="AI98" s="20"/>
      <c r="AJ98" s="20"/>
      <c r="AK98" s="23"/>
      <c r="AL98" s="20"/>
      <c r="AM98" s="18"/>
      <c r="AN98" s="15"/>
      <c r="AO98" s="15"/>
      <c r="AP98" s="15"/>
      <c r="AQ98" s="20"/>
      <c r="AR98" s="20"/>
      <c r="AS98" s="24"/>
      <c r="AT98" s="15"/>
      <c r="AU98" s="15"/>
      <c r="AV98" s="15"/>
      <c r="AW98" s="15"/>
      <c r="AX98" s="15"/>
      <c r="AY98" s="24"/>
      <c r="AZ98" s="24"/>
      <c r="BA98" s="15"/>
      <c r="BB98" s="15"/>
      <c r="BC98" s="15"/>
      <c r="BD98" s="15"/>
      <c r="BE98" s="18"/>
      <c r="BF98" s="55"/>
      <c r="BG98" s="26"/>
      <c r="BH98" s="26"/>
      <c r="BI98" s="26"/>
      <c r="BJ98" s="26"/>
      <c r="BK98" s="27"/>
    </row>
    <row r="99">
      <c r="A99" s="44"/>
      <c r="B99" s="40"/>
      <c r="C99" s="20"/>
      <c r="D99" s="15"/>
      <c r="E99" s="23"/>
      <c r="F99" s="20"/>
      <c r="G99" s="20"/>
      <c r="H99" s="20"/>
      <c r="I99" s="20"/>
      <c r="J99" s="20"/>
      <c r="K99" s="15"/>
      <c r="L99" s="19"/>
      <c r="M99" s="20"/>
      <c r="N99" s="23"/>
      <c r="O99" s="20"/>
      <c r="P99" s="15"/>
      <c r="Q99" s="15"/>
      <c r="R99" s="19"/>
      <c r="S99" s="23"/>
      <c r="T99" s="20"/>
      <c r="U99" s="20"/>
      <c r="V99" s="15"/>
      <c r="W99" s="20"/>
      <c r="X99" s="20"/>
      <c r="Y99" s="20"/>
      <c r="Z99" s="20"/>
      <c r="AA99" s="20"/>
      <c r="AB99" s="19"/>
      <c r="AC99" s="34"/>
      <c r="AD99" s="15"/>
      <c r="AE99" s="15"/>
      <c r="AF99" s="15"/>
      <c r="AG99" s="20"/>
      <c r="AH99" s="15"/>
      <c r="AI99" s="20"/>
      <c r="AJ99" s="20"/>
      <c r="AK99" s="19"/>
      <c r="AL99" s="20"/>
      <c r="AM99" s="18"/>
      <c r="AN99" s="15"/>
      <c r="AO99" s="15"/>
      <c r="AP99" s="15"/>
      <c r="AQ99" s="20"/>
      <c r="AR99" s="20"/>
      <c r="AS99" s="24"/>
      <c r="AT99" s="15"/>
      <c r="AU99" s="15"/>
      <c r="AV99" s="15"/>
      <c r="AW99" s="15"/>
      <c r="AX99" s="15"/>
      <c r="AY99" s="24"/>
      <c r="AZ99" s="24"/>
      <c r="BA99" s="15"/>
      <c r="BB99" s="46"/>
      <c r="BC99" s="18"/>
      <c r="BD99" s="15"/>
      <c r="BE99" s="18"/>
      <c r="BF99" s="55"/>
      <c r="BG99" s="26"/>
      <c r="BH99" s="32"/>
      <c r="BI99" s="26"/>
      <c r="BJ99" s="38"/>
      <c r="BK99" s="39"/>
    </row>
    <row r="100">
      <c r="A100" s="15"/>
      <c r="B100" s="40"/>
      <c r="C100" s="17"/>
      <c r="D100" s="15"/>
      <c r="E100" s="23"/>
      <c r="F100" s="20"/>
      <c r="G100" s="20"/>
      <c r="H100" s="20"/>
      <c r="I100" s="31"/>
      <c r="J100" s="20"/>
      <c r="K100" s="15"/>
      <c r="L100" s="19"/>
      <c r="M100" s="31"/>
      <c r="N100" s="23"/>
      <c r="O100" s="15"/>
      <c r="P100" s="15"/>
      <c r="Q100" s="15"/>
      <c r="R100" s="19"/>
      <c r="S100" s="15"/>
      <c r="T100" s="20"/>
      <c r="U100" s="20"/>
      <c r="V100" s="15"/>
      <c r="W100" s="20"/>
      <c r="X100" s="20"/>
      <c r="Y100" s="20"/>
      <c r="Z100" s="20"/>
      <c r="AA100" s="20"/>
      <c r="AB100" s="19"/>
      <c r="AC100" s="34"/>
      <c r="AD100" s="15"/>
      <c r="AE100" s="15"/>
      <c r="AF100" s="20"/>
      <c r="AG100" s="20"/>
      <c r="AH100" s="15"/>
      <c r="AI100" s="20"/>
      <c r="AJ100" s="20"/>
      <c r="AK100" s="23"/>
      <c r="AL100" s="20"/>
      <c r="AM100" s="18"/>
      <c r="AN100" s="15"/>
      <c r="AO100" s="15"/>
      <c r="AP100" s="15"/>
      <c r="AQ100" s="20"/>
      <c r="AR100" s="20"/>
      <c r="AS100" s="24"/>
      <c r="AT100" s="15"/>
      <c r="AU100" s="15"/>
      <c r="AV100" s="15"/>
      <c r="AW100" s="15"/>
      <c r="AX100" s="15"/>
      <c r="AY100" s="24"/>
      <c r="AZ100" s="24"/>
      <c r="BA100" s="15"/>
      <c r="BB100" s="46"/>
      <c r="BC100" s="15"/>
      <c r="BD100" s="46"/>
      <c r="BE100" s="18"/>
      <c r="BF100" s="25"/>
      <c r="BG100" s="26"/>
      <c r="BH100" s="26"/>
      <c r="BI100" s="26"/>
      <c r="BJ100" s="26"/>
      <c r="BK100" s="27"/>
    </row>
    <row r="101" ht="14.25" customHeight="1">
      <c r="A101" s="15"/>
      <c r="B101" s="40"/>
      <c r="C101" s="37"/>
      <c r="D101" s="31"/>
      <c r="E101" s="31"/>
      <c r="F101" s="31"/>
      <c r="G101" s="31"/>
      <c r="H101" s="20"/>
      <c r="I101" s="20"/>
      <c r="J101" s="31"/>
      <c r="K101" s="31"/>
      <c r="L101" s="31"/>
      <c r="M101" s="31"/>
      <c r="N101" s="31"/>
      <c r="O101" s="31"/>
      <c r="P101" s="31"/>
      <c r="Q101" s="31"/>
      <c r="R101" s="31"/>
      <c r="S101" s="23"/>
      <c r="T101" s="15"/>
      <c r="U101" s="20"/>
      <c r="V101" s="15"/>
      <c r="W101" s="20"/>
      <c r="X101" s="20"/>
      <c r="Y101" s="20"/>
      <c r="Z101" s="20"/>
      <c r="AA101" s="20"/>
      <c r="AB101" s="19"/>
      <c r="AC101" s="34"/>
      <c r="AD101" s="15"/>
      <c r="AE101" s="15"/>
      <c r="AF101" s="20"/>
      <c r="AG101" s="20"/>
      <c r="AH101" s="15"/>
      <c r="AI101" s="31"/>
      <c r="AJ101" s="31"/>
      <c r="AK101" s="31"/>
      <c r="AL101" s="31"/>
      <c r="AM101" s="18"/>
      <c r="AN101" s="15"/>
      <c r="AO101" s="15"/>
      <c r="AP101" s="15"/>
      <c r="AQ101" s="20"/>
      <c r="AR101" s="20"/>
      <c r="AS101" s="24"/>
      <c r="AT101" s="15"/>
      <c r="AU101" s="15"/>
      <c r="AV101" s="15"/>
      <c r="AW101" s="15"/>
      <c r="AX101" s="15"/>
      <c r="AY101" s="24"/>
      <c r="AZ101" s="24"/>
      <c r="BA101" s="15"/>
      <c r="BB101" s="46"/>
      <c r="BC101" s="15"/>
      <c r="BD101" s="46"/>
      <c r="BE101" s="18"/>
      <c r="BF101" s="25"/>
      <c r="BG101" s="26"/>
      <c r="BH101" s="26"/>
      <c r="BI101" s="26"/>
      <c r="BJ101" s="26"/>
      <c r="BK101" s="27"/>
    </row>
    <row r="102">
      <c r="A102" s="15"/>
      <c r="B102" s="40"/>
      <c r="C102" s="17"/>
      <c r="D102" s="15"/>
      <c r="E102" s="20"/>
      <c r="F102" s="20"/>
      <c r="G102" s="20"/>
      <c r="H102" s="20"/>
      <c r="I102" s="20"/>
      <c r="J102" s="20"/>
      <c r="K102" s="15"/>
      <c r="L102" s="19"/>
      <c r="M102" s="20"/>
      <c r="N102" s="23"/>
      <c r="O102" s="20"/>
      <c r="P102" s="15"/>
      <c r="Q102" s="15"/>
      <c r="R102" s="19"/>
      <c r="S102" s="31"/>
      <c r="T102" s="31"/>
      <c r="U102" s="31"/>
      <c r="V102" s="31"/>
      <c r="W102" s="20"/>
      <c r="X102" s="20"/>
      <c r="Y102" s="20"/>
      <c r="Z102" s="20"/>
      <c r="AA102" s="20"/>
      <c r="AB102" s="19"/>
      <c r="AC102" s="34"/>
      <c r="AD102" s="15"/>
      <c r="AE102" s="15"/>
      <c r="AF102" s="20"/>
      <c r="AG102" s="20"/>
      <c r="AH102" s="15"/>
      <c r="AI102" s="20"/>
      <c r="AJ102" s="20"/>
      <c r="AK102" s="23"/>
      <c r="AL102" s="20"/>
      <c r="AM102" s="18"/>
      <c r="AN102" s="15"/>
      <c r="AO102" s="15"/>
      <c r="AP102" s="18"/>
      <c r="AQ102" s="20"/>
      <c r="AR102" s="20"/>
      <c r="AS102" s="24"/>
      <c r="AT102" s="31"/>
      <c r="AU102" s="15"/>
      <c r="AV102" s="15"/>
      <c r="AW102" s="15"/>
      <c r="AX102" s="15"/>
      <c r="AY102" s="24"/>
      <c r="AZ102" s="24"/>
      <c r="BA102" s="31"/>
      <c r="BB102" s="42"/>
      <c r="BC102" s="15"/>
      <c r="BD102" s="15"/>
      <c r="BE102" s="15"/>
      <c r="BF102" s="55"/>
      <c r="BG102" s="26"/>
      <c r="BH102" s="26"/>
      <c r="BI102" s="33"/>
      <c r="BJ102" s="26"/>
      <c r="BK102" s="27"/>
    </row>
    <row r="103">
      <c r="A103" s="15"/>
      <c r="B103" s="40"/>
      <c r="C103" s="20"/>
      <c r="D103" s="15"/>
      <c r="E103" s="23"/>
      <c r="F103" s="20"/>
      <c r="G103" s="31"/>
      <c r="H103" s="31"/>
      <c r="I103" s="31"/>
      <c r="J103" s="20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43"/>
      <c r="BG103" s="45"/>
      <c r="BH103" s="45"/>
      <c r="BI103" s="45"/>
      <c r="BJ103" s="45"/>
    </row>
    <row r="104">
      <c r="A104" s="44"/>
      <c r="B104" s="40"/>
      <c r="C104" s="20"/>
      <c r="D104" s="15"/>
      <c r="E104" s="23"/>
      <c r="F104" s="20"/>
      <c r="G104" s="20"/>
      <c r="H104" s="20"/>
      <c r="I104" s="20"/>
      <c r="J104" s="20"/>
      <c r="K104" s="15"/>
      <c r="L104" s="19"/>
      <c r="M104" s="20"/>
      <c r="N104" s="23"/>
      <c r="O104" s="20"/>
      <c r="P104" s="15"/>
      <c r="Q104" s="15"/>
      <c r="R104" s="15"/>
      <c r="S104" s="23"/>
      <c r="T104" s="20"/>
      <c r="U104" s="20"/>
      <c r="V104" s="15"/>
      <c r="W104" s="20"/>
      <c r="X104" s="20"/>
      <c r="Y104" s="20"/>
      <c r="Z104" s="20"/>
      <c r="AA104" s="15"/>
      <c r="AB104" s="19"/>
      <c r="AC104" s="15"/>
      <c r="AD104" s="15"/>
      <c r="AE104" s="15"/>
      <c r="AF104" s="15"/>
      <c r="AG104" s="20"/>
      <c r="AH104" s="15"/>
      <c r="AI104" s="20"/>
      <c r="AJ104" s="20"/>
      <c r="AK104" s="19"/>
      <c r="AL104" s="15"/>
      <c r="AM104" s="18"/>
      <c r="AN104" s="15"/>
      <c r="AO104" s="15"/>
      <c r="AP104" s="15"/>
      <c r="AQ104" s="20"/>
      <c r="AR104" s="20"/>
      <c r="AS104" s="24"/>
      <c r="AT104" s="15"/>
      <c r="AU104" s="15"/>
      <c r="AV104" s="15"/>
      <c r="AW104" s="15"/>
      <c r="AX104" s="15"/>
      <c r="AY104" s="24"/>
      <c r="AZ104" s="24"/>
      <c r="BA104" s="15"/>
      <c r="BB104" s="15"/>
      <c r="BC104" s="18"/>
      <c r="BD104" s="15"/>
      <c r="BE104" s="18"/>
      <c r="BF104" s="25"/>
      <c r="BG104" s="26"/>
      <c r="BH104" s="26"/>
      <c r="BI104" s="26"/>
      <c r="BJ104" s="38"/>
      <c r="BK104" s="39"/>
    </row>
    <row r="105">
      <c r="A105" s="15"/>
      <c r="B105" s="40"/>
      <c r="C105" s="37"/>
      <c r="D105" s="31"/>
      <c r="E105" s="31"/>
      <c r="F105" s="31"/>
      <c r="G105" s="31"/>
      <c r="H105" s="20"/>
      <c r="I105" s="20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20"/>
      <c r="AJ105" s="20"/>
      <c r="AK105" s="19"/>
      <c r="AL105" s="20"/>
      <c r="AM105" s="18"/>
      <c r="AN105" s="15"/>
      <c r="AO105" s="15"/>
      <c r="AP105" s="15"/>
      <c r="AQ105" s="20"/>
      <c r="AR105" s="20"/>
      <c r="AS105" s="24"/>
      <c r="AT105" s="15"/>
      <c r="AU105" s="15"/>
      <c r="AV105" s="15"/>
      <c r="AW105" s="15"/>
      <c r="AX105" s="15"/>
      <c r="AY105" s="24"/>
      <c r="AZ105" s="24"/>
      <c r="BA105" s="15"/>
      <c r="BB105" s="15"/>
      <c r="BC105" s="15"/>
      <c r="BD105" s="15"/>
      <c r="BE105" s="18"/>
      <c r="BF105" s="55"/>
      <c r="BG105" s="26"/>
      <c r="BH105" s="26"/>
      <c r="BI105" s="26"/>
      <c r="BJ105" s="26"/>
      <c r="BK105" s="27"/>
    </row>
    <row r="106">
      <c r="A106" s="56"/>
      <c r="B106" s="40"/>
      <c r="C106" s="57"/>
      <c r="D106" s="56"/>
      <c r="E106" s="58"/>
      <c r="F106" s="57"/>
      <c r="G106" s="57"/>
      <c r="H106" s="57"/>
      <c r="I106" s="57"/>
      <c r="J106" s="57"/>
      <c r="K106" s="56"/>
      <c r="L106" s="59"/>
      <c r="M106" s="57"/>
      <c r="N106" s="58"/>
      <c r="O106" s="57"/>
      <c r="P106" s="56"/>
      <c r="Q106" s="56"/>
      <c r="R106" s="59"/>
      <c r="S106" s="58"/>
      <c r="T106" s="57"/>
      <c r="U106" s="57"/>
      <c r="V106" s="56"/>
      <c r="W106" s="57"/>
      <c r="X106" s="57"/>
      <c r="Y106" s="57"/>
      <c r="Z106" s="57"/>
      <c r="AA106" s="57"/>
      <c r="AB106" s="59"/>
      <c r="AC106" s="60"/>
      <c r="AD106" s="56"/>
      <c r="AE106" s="61"/>
      <c r="AF106" s="61"/>
      <c r="AG106" s="61"/>
      <c r="AH106" s="61"/>
      <c r="AI106" s="57"/>
      <c r="AJ106" s="57"/>
      <c r="AK106" s="59"/>
      <c r="AL106" s="57"/>
      <c r="AM106" s="62"/>
      <c r="AN106" s="56"/>
      <c r="AO106" s="56"/>
      <c r="AP106" s="56"/>
      <c r="AQ106" s="61"/>
      <c r="AR106" s="61"/>
      <c r="AS106" s="61"/>
      <c r="AT106" s="61"/>
      <c r="AU106" s="56"/>
      <c r="AV106" s="56"/>
      <c r="AW106" s="56"/>
      <c r="AX106" s="56"/>
      <c r="AY106" s="63"/>
      <c r="AZ106" s="63"/>
      <c r="BA106" s="56"/>
      <c r="BB106" s="56"/>
      <c r="BC106" s="56"/>
      <c r="BD106" s="56"/>
      <c r="BE106" s="62"/>
      <c r="BF106" s="64"/>
      <c r="BG106" s="26"/>
      <c r="BH106" s="26"/>
      <c r="BI106" s="26"/>
      <c r="BJ106" s="26"/>
      <c r="BK106" s="27"/>
    </row>
    <row r="107">
      <c r="A107" s="65"/>
      <c r="B107" s="40"/>
      <c r="C107" s="66"/>
      <c r="D107" s="65"/>
      <c r="E107" s="67"/>
      <c r="F107" s="66"/>
      <c r="G107" s="66"/>
      <c r="H107" s="66"/>
      <c r="I107" s="66"/>
      <c r="J107" s="68"/>
      <c r="K107" s="65"/>
      <c r="L107" s="69"/>
      <c r="M107" s="66"/>
      <c r="N107" s="68"/>
      <c r="O107" s="66"/>
      <c r="P107" s="65"/>
      <c r="Q107" s="65"/>
      <c r="R107" s="69"/>
      <c r="S107" s="68"/>
      <c r="T107" s="68"/>
      <c r="U107" s="68"/>
      <c r="V107" s="68"/>
      <c r="W107" s="68"/>
      <c r="X107" s="68"/>
      <c r="Y107" s="66"/>
      <c r="Z107" s="66"/>
      <c r="AA107" s="66"/>
      <c r="AB107" s="69"/>
      <c r="AC107" s="68"/>
      <c r="AD107" s="65"/>
      <c r="AE107" s="65"/>
      <c r="AF107" s="68"/>
      <c r="AG107" s="66"/>
      <c r="AH107" s="65"/>
      <c r="AI107" s="66"/>
      <c r="AJ107" s="66"/>
      <c r="AK107" s="69"/>
      <c r="AL107" s="66"/>
      <c r="AM107" s="70"/>
      <c r="AN107" s="65"/>
      <c r="AO107" s="65"/>
      <c r="AP107" s="65"/>
      <c r="AQ107" s="68"/>
      <c r="AR107" s="68"/>
      <c r="AS107" s="68"/>
      <c r="AT107" s="68"/>
      <c r="AU107" s="65"/>
      <c r="AV107" s="65"/>
      <c r="AW107" s="65"/>
      <c r="AX107" s="65"/>
      <c r="AY107" s="71"/>
      <c r="AZ107" s="71"/>
      <c r="BA107" s="68"/>
      <c r="BB107" s="68"/>
      <c r="BC107" s="70"/>
      <c r="BD107" s="65"/>
      <c r="BE107" s="70"/>
      <c r="BF107" s="70"/>
      <c r="BG107" s="65"/>
      <c r="BH107" s="70"/>
      <c r="BI107" s="70"/>
      <c r="BJ107" s="70"/>
      <c r="BK107" s="27"/>
    </row>
    <row r="108">
      <c r="A108" s="56"/>
      <c r="B108" s="40"/>
      <c r="C108" s="72"/>
      <c r="D108" s="61"/>
      <c r="E108" s="61"/>
      <c r="F108" s="61"/>
      <c r="G108" s="61"/>
      <c r="H108" s="57"/>
      <c r="I108" s="5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57"/>
      <c r="AJ108" s="57"/>
      <c r="AK108" s="61"/>
      <c r="AL108" s="56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3"/>
      <c r="AZ108" s="63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</row>
    <row r="109">
      <c r="A109" s="32"/>
      <c r="B109" s="40"/>
      <c r="C109" s="73"/>
      <c r="D109" s="45"/>
      <c r="E109" s="45"/>
      <c r="F109" s="45"/>
      <c r="G109" s="45"/>
      <c r="H109" s="74"/>
      <c r="I109" s="74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</row>
    <row r="110">
      <c r="B110" s="2"/>
      <c r="C110" s="11"/>
      <c r="H110" s="75"/>
      <c r="I110" s="75"/>
    </row>
    <row r="111">
      <c r="B111" s="2"/>
      <c r="C111" s="11"/>
      <c r="H111" s="75"/>
      <c r="I111" s="75"/>
    </row>
    <row r="112">
      <c r="A112" s="51"/>
      <c r="B112" s="2"/>
      <c r="C112" s="11"/>
      <c r="H112" s="75"/>
      <c r="I112" s="75"/>
    </row>
    <row r="113">
      <c r="A113" s="51"/>
      <c r="B113" s="2"/>
      <c r="C113" s="11"/>
      <c r="H113" s="75"/>
      <c r="I113" s="75"/>
    </row>
    <row r="114">
      <c r="A114" s="51"/>
      <c r="B114" s="2"/>
      <c r="C114" s="11"/>
      <c r="H114" s="75"/>
      <c r="I114" s="75"/>
    </row>
    <row r="115">
      <c r="A115" s="51"/>
      <c r="B115" s="2"/>
      <c r="C115" s="11"/>
      <c r="H115" s="75"/>
      <c r="I115" s="75"/>
    </row>
    <row r="116">
      <c r="A116" s="51"/>
      <c r="B116" s="2"/>
      <c r="C116" s="11"/>
      <c r="H116" s="75"/>
      <c r="I116" s="75"/>
    </row>
    <row r="117">
      <c r="A117" s="51"/>
      <c r="B117" s="2"/>
      <c r="C117" s="11"/>
      <c r="H117" s="75"/>
      <c r="I117" s="75"/>
    </row>
    <row r="118">
      <c r="A118" s="51"/>
      <c r="B118" s="2"/>
      <c r="C118" s="11"/>
      <c r="H118" s="75"/>
      <c r="I118" s="7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6" t="s">
        <v>44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77" t="s">
        <v>45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76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77" t="s">
        <v>46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78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77" t="s">
        <v>47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78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77" t="s">
        <v>48</v>
      </c>
      <c r="B9" s="76"/>
      <c r="C9" s="76"/>
      <c r="D9" s="76"/>
      <c r="E9" s="76"/>
      <c r="F9" s="76"/>
      <c r="G9" s="76"/>
      <c r="H9" s="76"/>
      <c r="I9" s="76"/>
      <c r="J9" s="7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76"/>
      <c r="B10" s="76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77" t="s">
        <v>49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76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77" t="s">
        <v>50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76"/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79" t="s">
        <v>51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76"/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78" t="s">
        <v>52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76"/>
      <c r="B18" s="76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78" t="s">
        <v>53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76"/>
      <c r="B20" s="76"/>
      <c r="C20" s="76"/>
      <c r="D20" s="79" t="s">
        <v>54</v>
      </c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>
      <c r="A21" s="78" t="s">
        <v>55</v>
      </c>
      <c r="B21" s="76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>
      <c r="A22" s="76"/>
      <c r="B22" s="76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>
      <c r="A23" s="78" t="s">
        <v>56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>
      <c r="A24" s="76"/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>
      <c r="A25" s="78" t="s">
        <v>57</v>
      </c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>
      <c r="A27" s="78" t="s">
        <v>58</v>
      </c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>
      <c r="A28" s="76"/>
      <c r="B28" s="76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>
      <c r="A29" s="76"/>
      <c r="B29" s="76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>
      <c r="A30" s="76"/>
      <c r="B30" s="76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>
      <c r="A31" s="76"/>
      <c r="B31" s="76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>
      <c r="A32" s="76"/>
      <c r="B32" s="76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>
      <c r="A34" s="76"/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5" max="5" width="41.13"/>
    <col customWidth="1" min="6" max="6" width="17.38"/>
  </cols>
  <sheetData>
    <row r="1">
      <c r="A1" s="80" t="s">
        <v>59</v>
      </c>
      <c r="B1" s="80" t="s">
        <v>60</v>
      </c>
      <c r="C1" s="80" t="s">
        <v>61</v>
      </c>
      <c r="D1" s="80" t="s">
        <v>62</v>
      </c>
      <c r="E1" s="81" t="s">
        <v>63</v>
      </c>
      <c r="F1" s="81" t="s">
        <v>64</v>
      </c>
      <c r="G1" s="82" t="s">
        <v>65</v>
      </c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>
      <c r="A2" s="80">
        <v>1.0</v>
      </c>
      <c r="B2" s="84">
        <v>46185.0</v>
      </c>
      <c r="C2" s="80" t="s">
        <v>66</v>
      </c>
      <c r="D2" s="85">
        <v>0.020833333333333332</v>
      </c>
      <c r="E2" s="81" t="s">
        <v>67</v>
      </c>
      <c r="F2" s="81" t="s">
        <v>68</v>
      </c>
      <c r="G2" s="82" t="s">
        <v>69</v>
      </c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>
      <c r="A3" s="80">
        <v>2.0</v>
      </c>
      <c r="B3" s="84">
        <v>46185.0</v>
      </c>
      <c r="C3" s="80" t="s">
        <v>66</v>
      </c>
      <c r="D3" s="85">
        <v>0.3125</v>
      </c>
      <c r="E3" s="81" t="s">
        <v>70</v>
      </c>
      <c r="F3" s="81" t="s">
        <v>71</v>
      </c>
      <c r="G3" s="82" t="s">
        <v>72</v>
      </c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>
      <c r="A4" s="80">
        <v>3.0</v>
      </c>
      <c r="B4" s="84">
        <v>46186.0</v>
      </c>
      <c r="C4" s="80" t="s">
        <v>73</v>
      </c>
      <c r="D4" s="85">
        <v>0.020833333333333332</v>
      </c>
      <c r="E4" s="81" t="s">
        <v>74</v>
      </c>
      <c r="F4" s="81" t="s">
        <v>75</v>
      </c>
      <c r="G4" s="82" t="s">
        <v>76</v>
      </c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>
      <c r="A5" s="80">
        <v>4.0</v>
      </c>
      <c r="B5" s="84">
        <v>46186.0</v>
      </c>
      <c r="C5" s="80" t="s">
        <v>73</v>
      </c>
      <c r="D5" s="85">
        <v>0.2708333333333333</v>
      </c>
      <c r="E5" s="81" t="s">
        <v>77</v>
      </c>
      <c r="F5" s="81" t="s">
        <v>78</v>
      </c>
      <c r="G5" s="82" t="s">
        <v>79</v>
      </c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>
      <c r="A6" s="80">
        <v>5.0</v>
      </c>
      <c r="B6" s="84">
        <v>46187.0</v>
      </c>
      <c r="C6" s="80" t="s">
        <v>80</v>
      </c>
      <c r="D6" s="85">
        <v>0.020833333333333332</v>
      </c>
      <c r="E6" s="81" t="s">
        <v>81</v>
      </c>
      <c r="F6" s="81" t="s">
        <v>82</v>
      </c>
      <c r="G6" s="82" t="s">
        <v>76</v>
      </c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>
      <c r="A7" s="80">
        <v>6.0</v>
      </c>
      <c r="B7" s="84">
        <v>46187.0</v>
      </c>
      <c r="C7" s="80" t="s">
        <v>80</v>
      </c>
      <c r="D7" s="85">
        <v>0.14583333333333334</v>
      </c>
      <c r="E7" s="81" t="s">
        <v>83</v>
      </c>
      <c r="F7" s="81" t="s">
        <v>84</v>
      </c>
      <c r="G7" s="82" t="s">
        <v>76</v>
      </c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>
      <c r="A8" s="80">
        <v>7.0</v>
      </c>
      <c r="B8" s="84">
        <v>46187.0</v>
      </c>
      <c r="C8" s="80" t="s">
        <v>80</v>
      </c>
      <c r="D8" s="85">
        <v>0.2708333333333333</v>
      </c>
      <c r="E8" s="81" t="s">
        <v>85</v>
      </c>
      <c r="F8" s="81" t="s">
        <v>86</v>
      </c>
      <c r="G8" s="82" t="s">
        <v>87</v>
      </c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>
      <c r="A9" s="80">
        <v>8.0</v>
      </c>
      <c r="B9" s="84">
        <v>46187.0</v>
      </c>
      <c r="C9" s="80" t="s">
        <v>80</v>
      </c>
      <c r="D9" s="85">
        <v>0.3958333333333333</v>
      </c>
      <c r="E9" s="81" t="s">
        <v>88</v>
      </c>
      <c r="F9" s="81" t="s">
        <v>89</v>
      </c>
      <c r="G9" s="82" t="s">
        <v>90</v>
      </c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>
      <c r="A10" s="80">
        <v>9.0</v>
      </c>
      <c r="B10" s="84">
        <v>46187.0</v>
      </c>
      <c r="C10" s="80" t="s">
        <v>80</v>
      </c>
      <c r="D10" s="85">
        <v>0.9375</v>
      </c>
      <c r="E10" s="81" t="s">
        <v>91</v>
      </c>
      <c r="F10" s="81" t="s">
        <v>92</v>
      </c>
      <c r="G10" s="82" t="s">
        <v>93</v>
      </c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>
      <c r="A11" s="80">
        <v>10.0</v>
      </c>
      <c r="B11" s="84">
        <v>46188.0</v>
      </c>
      <c r="C11" s="80" t="s">
        <v>94</v>
      </c>
      <c r="D11" s="85">
        <v>0.0625</v>
      </c>
      <c r="E11" s="81" t="s">
        <v>95</v>
      </c>
      <c r="F11" s="81" t="s">
        <v>96</v>
      </c>
      <c r="G11" s="82" t="s">
        <v>76</v>
      </c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>
      <c r="A12" s="80">
        <v>11.0</v>
      </c>
      <c r="B12" s="84">
        <v>46188.0</v>
      </c>
      <c r="C12" s="80" t="s">
        <v>94</v>
      </c>
      <c r="D12" s="85">
        <v>0.1875</v>
      </c>
      <c r="E12" s="81" t="s">
        <v>97</v>
      </c>
      <c r="F12" s="81" t="s">
        <v>98</v>
      </c>
      <c r="G12" s="82" t="s">
        <v>99</v>
      </c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>
      <c r="A13" s="80">
        <v>12.0</v>
      </c>
      <c r="B13" s="84">
        <v>46188.0</v>
      </c>
      <c r="C13" s="80" t="s">
        <v>94</v>
      </c>
      <c r="D13" s="85">
        <v>0.3125</v>
      </c>
      <c r="E13" s="81" t="s">
        <v>100</v>
      </c>
      <c r="F13" s="81" t="s">
        <v>101</v>
      </c>
      <c r="G13" s="82" t="s">
        <v>102</v>
      </c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>
      <c r="A14" s="80">
        <v>13.0</v>
      </c>
      <c r="B14" s="84">
        <v>46188.0</v>
      </c>
      <c r="C14" s="80" t="s">
        <v>94</v>
      </c>
      <c r="D14" s="85">
        <v>0.8958333333333334</v>
      </c>
      <c r="E14" s="81" t="s">
        <v>103</v>
      </c>
      <c r="F14" s="81" t="s">
        <v>104</v>
      </c>
      <c r="G14" s="82" t="s">
        <v>76</v>
      </c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>
      <c r="A15" s="80">
        <v>14.0</v>
      </c>
      <c r="B15" s="84">
        <v>46189.0</v>
      </c>
      <c r="C15" s="80" t="s">
        <v>105</v>
      </c>
      <c r="D15" s="85">
        <v>0.020833333333333332</v>
      </c>
      <c r="E15" s="81" t="s">
        <v>106</v>
      </c>
      <c r="F15" s="81" t="s">
        <v>107</v>
      </c>
      <c r="G15" s="82" t="s">
        <v>76</v>
      </c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>
      <c r="A16" s="80">
        <v>15.0</v>
      </c>
      <c r="B16" s="84">
        <v>46189.0</v>
      </c>
      <c r="C16" s="80" t="s">
        <v>105</v>
      </c>
      <c r="D16" s="85">
        <v>0.14583333333333334</v>
      </c>
      <c r="E16" s="81" t="s">
        <v>108</v>
      </c>
      <c r="F16" s="81" t="s">
        <v>109</v>
      </c>
      <c r="G16" s="82" t="s">
        <v>76</v>
      </c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>
      <c r="A17" s="80">
        <v>16.0</v>
      </c>
      <c r="B17" s="84">
        <v>46189.0</v>
      </c>
      <c r="C17" s="80" t="s">
        <v>105</v>
      </c>
      <c r="D17" s="85">
        <v>0.2708333333333333</v>
      </c>
      <c r="E17" s="81" t="s">
        <v>110</v>
      </c>
      <c r="F17" s="81" t="s">
        <v>78</v>
      </c>
      <c r="G17" s="82" t="s">
        <v>76</v>
      </c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>
      <c r="A18" s="80">
        <v>17.0</v>
      </c>
      <c r="B18" s="84">
        <v>46190.0</v>
      </c>
      <c r="C18" s="80" t="s">
        <v>111</v>
      </c>
      <c r="D18" s="85">
        <v>0.020833333333333332</v>
      </c>
      <c r="E18" s="81" t="s">
        <v>112</v>
      </c>
      <c r="F18" s="81" t="s">
        <v>84</v>
      </c>
      <c r="G18" s="82" t="s">
        <v>113</v>
      </c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>
      <c r="A19" s="80">
        <v>18.0</v>
      </c>
      <c r="B19" s="84">
        <v>46190.0</v>
      </c>
      <c r="C19" s="80" t="s">
        <v>111</v>
      </c>
      <c r="D19" s="85">
        <v>0.14583333333333334</v>
      </c>
      <c r="E19" s="81" t="s">
        <v>114</v>
      </c>
      <c r="F19" s="81" t="s">
        <v>86</v>
      </c>
      <c r="G19" s="82" t="s">
        <v>115</v>
      </c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</row>
    <row r="20">
      <c r="A20" s="80">
        <v>19.0</v>
      </c>
      <c r="B20" s="84">
        <v>46190.0</v>
      </c>
      <c r="C20" s="80" t="s">
        <v>111</v>
      </c>
      <c r="D20" s="85">
        <v>0.2708333333333333</v>
      </c>
      <c r="E20" s="81" t="s">
        <v>116</v>
      </c>
      <c r="F20" s="81" t="s">
        <v>117</v>
      </c>
      <c r="G20" s="82" t="s">
        <v>118</v>
      </c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</row>
    <row r="21">
      <c r="A21" s="80">
        <v>20.0</v>
      </c>
      <c r="B21" s="84">
        <v>46190.0</v>
      </c>
      <c r="C21" s="80" t="s">
        <v>111</v>
      </c>
      <c r="D21" s="85">
        <v>0.3958333333333333</v>
      </c>
      <c r="E21" s="81" t="s">
        <v>119</v>
      </c>
      <c r="F21" s="81" t="s">
        <v>82</v>
      </c>
      <c r="G21" s="82" t="s">
        <v>120</v>
      </c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>
      <c r="A22" s="80">
        <v>21.0</v>
      </c>
      <c r="B22" s="84">
        <v>46190.0</v>
      </c>
      <c r="C22" s="80" t="s">
        <v>111</v>
      </c>
      <c r="D22" s="85">
        <v>0.9375</v>
      </c>
      <c r="E22" s="81" t="s">
        <v>121</v>
      </c>
      <c r="F22" s="81" t="s">
        <v>92</v>
      </c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>
      <c r="A23" s="80">
        <v>22.0</v>
      </c>
      <c r="B23" s="84">
        <v>46191.0</v>
      </c>
      <c r="C23" s="80" t="s">
        <v>122</v>
      </c>
      <c r="D23" s="85">
        <v>0.0625</v>
      </c>
      <c r="E23" s="81" t="s">
        <v>123</v>
      </c>
      <c r="F23" s="81" t="s">
        <v>96</v>
      </c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>
      <c r="A24" s="80">
        <v>23.0</v>
      </c>
      <c r="B24" s="84">
        <v>46191.0</v>
      </c>
      <c r="C24" s="80" t="s">
        <v>122</v>
      </c>
      <c r="D24" s="85">
        <v>0.1875</v>
      </c>
      <c r="E24" s="81" t="s">
        <v>124</v>
      </c>
      <c r="F24" s="81" t="s">
        <v>75</v>
      </c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>
      <c r="A25" s="80">
        <v>24.0</v>
      </c>
      <c r="B25" s="84">
        <v>46191.0</v>
      </c>
      <c r="C25" s="80" t="s">
        <v>122</v>
      </c>
      <c r="D25" s="85">
        <v>0.3125</v>
      </c>
      <c r="E25" s="81" t="s">
        <v>125</v>
      </c>
      <c r="F25" s="81" t="s">
        <v>68</v>
      </c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>
      <c r="A26" s="80">
        <v>25.0</v>
      </c>
      <c r="B26" s="84">
        <v>46191.0</v>
      </c>
      <c r="C26" s="80" t="s">
        <v>122</v>
      </c>
      <c r="D26" s="85">
        <v>0.8958333333333334</v>
      </c>
      <c r="E26" s="81" t="s">
        <v>126</v>
      </c>
      <c r="F26" s="81" t="s">
        <v>104</v>
      </c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>
      <c r="A27" s="80">
        <v>26.0</v>
      </c>
      <c r="B27" s="84">
        <v>46192.0</v>
      </c>
      <c r="C27" s="80" t="s">
        <v>66</v>
      </c>
      <c r="D27" s="85">
        <v>0.020833333333333332</v>
      </c>
      <c r="E27" s="81" t="s">
        <v>127</v>
      </c>
      <c r="F27" s="81" t="s">
        <v>78</v>
      </c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>
      <c r="A28" s="80">
        <v>27.0</v>
      </c>
      <c r="B28" s="84">
        <v>46192.0</v>
      </c>
      <c r="C28" s="80" t="s">
        <v>66</v>
      </c>
      <c r="D28" s="85">
        <v>0.14583333333333334</v>
      </c>
      <c r="E28" s="81" t="s">
        <v>128</v>
      </c>
      <c r="F28" s="81" t="s">
        <v>89</v>
      </c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>
      <c r="A29" s="80">
        <v>28.0</v>
      </c>
      <c r="B29" s="84">
        <v>46192.0</v>
      </c>
      <c r="C29" s="80" t="s">
        <v>66</v>
      </c>
      <c r="D29" s="85">
        <v>0.2708333333333333</v>
      </c>
      <c r="E29" s="81" t="s">
        <v>129</v>
      </c>
      <c r="F29" s="81" t="s">
        <v>71</v>
      </c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</row>
    <row r="30">
      <c r="A30" s="80">
        <v>29.0</v>
      </c>
      <c r="B30" s="84">
        <v>46193.0</v>
      </c>
      <c r="C30" s="80" t="s">
        <v>73</v>
      </c>
      <c r="D30" s="85">
        <v>0.020833333333333332</v>
      </c>
      <c r="E30" s="81" t="s">
        <v>130</v>
      </c>
      <c r="F30" s="81" t="s">
        <v>107</v>
      </c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</row>
    <row r="31">
      <c r="A31" s="80">
        <v>30.0</v>
      </c>
      <c r="B31" s="84">
        <v>46193.0</v>
      </c>
      <c r="C31" s="80" t="s">
        <v>73</v>
      </c>
      <c r="D31" s="85">
        <v>0.14583333333333334</v>
      </c>
      <c r="E31" s="81" t="s">
        <v>131</v>
      </c>
      <c r="F31" s="81" t="s">
        <v>86</v>
      </c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</row>
    <row r="32">
      <c r="A32" s="80">
        <v>31.0</v>
      </c>
      <c r="B32" s="84">
        <v>46193.0</v>
      </c>
      <c r="C32" s="80" t="s">
        <v>73</v>
      </c>
      <c r="D32" s="85">
        <v>0.25</v>
      </c>
      <c r="E32" s="81" t="s">
        <v>132</v>
      </c>
      <c r="F32" s="81" t="s">
        <v>98</v>
      </c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</row>
    <row r="33">
      <c r="A33" s="80">
        <v>32.0</v>
      </c>
      <c r="B33" s="84">
        <v>46193.0</v>
      </c>
      <c r="C33" s="80" t="s">
        <v>73</v>
      </c>
      <c r="D33" s="85">
        <v>0.3541666666666667</v>
      </c>
      <c r="E33" s="81" t="s">
        <v>133</v>
      </c>
      <c r="F33" s="81" t="s">
        <v>82</v>
      </c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</row>
    <row r="34">
      <c r="A34" s="80">
        <v>33.0</v>
      </c>
      <c r="B34" s="84">
        <v>46193.0</v>
      </c>
      <c r="C34" s="80" t="s">
        <v>73</v>
      </c>
      <c r="D34" s="85">
        <v>0.9375</v>
      </c>
      <c r="E34" s="81" t="s">
        <v>134</v>
      </c>
      <c r="F34" s="81" t="s">
        <v>92</v>
      </c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</row>
    <row r="35">
      <c r="A35" s="80">
        <v>34.0</v>
      </c>
      <c r="B35" s="84">
        <v>46194.0</v>
      </c>
      <c r="C35" s="80" t="s">
        <v>80</v>
      </c>
      <c r="D35" s="85">
        <v>0.0625</v>
      </c>
      <c r="E35" s="81" t="s">
        <v>135</v>
      </c>
      <c r="F35" s="81" t="s">
        <v>75</v>
      </c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</row>
    <row r="36">
      <c r="A36" s="80">
        <v>35.0</v>
      </c>
      <c r="B36" s="84">
        <v>46194.0</v>
      </c>
      <c r="C36" s="80" t="s">
        <v>80</v>
      </c>
      <c r="D36" s="85">
        <v>0.22916666666666666</v>
      </c>
      <c r="E36" s="81" t="s">
        <v>136</v>
      </c>
      <c r="F36" s="81" t="s">
        <v>117</v>
      </c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</row>
    <row r="37">
      <c r="A37" s="80">
        <v>36.0</v>
      </c>
      <c r="B37" s="84">
        <v>46194.0</v>
      </c>
      <c r="C37" s="80" t="s">
        <v>80</v>
      </c>
      <c r="D37" s="85">
        <v>0.3958333333333333</v>
      </c>
      <c r="E37" s="81" t="s">
        <v>137</v>
      </c>
      <c r="F37" s="81" t="s">
        <v>101</v>
      </c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>
      <c r="A38" s="80">
        <v>37.0</v>
      </c>
      <c r="B38" s="84">
        <v>46194.0</v>
      </c>
      <c r="C38" s="80" t="s">
        <v>80</v>
      </c>
      <c r="D38" s="85">
        <v>0.8958333333333334</v>
      </c>
      <c r="E38" s="81" t="s">
        <v>138</v>
      </c>
      <c r="F38" s="81" t="s">
        <v>104</v>
      </c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>
      <c r="A39" s="80">
        <v>38.0</v>
      </c>
      <c r="B39" s="84">
        <v>46195.0</v>
      </c>
      <c r="C39" s="80" t="s">
        <v>94</v>
      </c>
      <c r="D39" s="85">
        <v>0.020833333333333332</v>
      </c>
      <c r="E39" s="81" t="s">
        <v>139</v>
      </c>
      <c r="F39" s="81" t="s">
        <v>78</v>
      </c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>
      <c r="A40" s="80">
        <v>39.0</v>
      </c>
      <c r="B40" s="84">
        <v>46195.0</v>
      </c>
      <c r="C40" s="80" t="s">
        <v>94</v>
      </c>
      <c r="D40" s="85">
        <v>0.14583333333333334</v>
      </c>
      <c r="E40" s="81" t="s">
        <v>140</v>
      </c>
      <c r="F40" s="81" t="s">
        <v>109</v>
      </c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>
      <c r="A41" s="80">
        <v>40.0</v>
      </c>
      <c r="B41" s="84">
        <v>46195.0</v>
      </c>
      <c r="C41" s="80" t="s">
        <v>94</v>
      </c>
      <c r="D41" s="85">
        <v>0.2708333333333333</v>
      </c>
      <c r="E41" s="81" t="s">
        <v>141</v>
      </c>
      <c r="F41" s="81" t="s">
        <v>89</v>
      </c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>
      <c r="A42" s="80">
        <v>41.0</v>
      </c>
      <c r="B42" s="84">
        <v>46195.0</v>
      </c>
      <c r="C42" s="80" t="s">
        <v>94</v>
      </c>
      <c r="D42" s="85">
        <v>0.9375</v>
      </c>
      <c r="E42" s="81" t="s">
        <v>142</v>
      </c>
      <c r="F42" s="81" t="s">
        <v>96</v>
      </c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</row>
    <row r="43">
      <c r="A43" s="80">
        <v>42.0</v>
      </c>
      <c r="B43" s="84">
        <v>46196.0</v>
      </c>
      <c r="C43" s="80" t="s">
        <v>105</v>
      </c>
      <c r="D43" s="85">
        <v>0.10416666666666667</v>
      </c>
      <c r="E43" s="81" t="s">
        <v>143</v>
      </c>
      <c r="F43" s="81" t="s">
        <v>98</v>
      </c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</row>
    <row r="44">
      <c r="A44" s="80">
        <v>43.0</v>
      </c>
      <c r="B44" s="84">
        <v>46196.0</v>
      </c>
      <c r="C44" s="80" t="s">
        <v>105</v>
      </c>
      <c r="D44" s="85">
        <v>0.22916666666666666</v>
      </c>
      <c r="E44" s="81" t="s">
        <v>144</v>
      </c>
      <c r="F44" s="81" t="s">
        <v>75</v>
      </c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>
      <c r="A45" s="80">
        <v>44.0</v>
      </c>
      <c r="B45" s="84">
        <v>46196.0</v>
      </c>
      <c r="C45" s="80" t="s">
        <v>105</v>
      </c>
      <c r="D45" s="85">
        <v>0.3541666666666667</v>
      </c>
      <c r="E45" s="81" t="s">
        <v>145</v>
      </c>
      <c r="F45" s="81" t="s">
        <v>82</v>
      </c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>
      <c r="A46" s="80">
        <v>45.0</v>
      </c>
      <c r="B46" s="84">
        <v>46196.0</v>
      </c>
      <c r="C46" s="80" t="s">
        <v>105</v>
      </c>
      <c r="D46" s="85">
        <v>0.9375</v>
      </c>
      <c r="E46" s="81" t="s">
        <v>146</v>
      </c>
      <c r="F46" s="81" t="s">
        <v>92</v>
      </c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>
      <c r="A47" s="80">
        <v>46.0</v>
      </c>
      <c r="B47" s="84">
        <v>46197.0</v>
      </c>
      <c r="C47" s="80" t="s">
        <v>111</v>
      </c>
      <c r="D47" s="85">
        <v>0.0625</v>
      </c>
      <c r="E47" s="81" t="s">
        <v>147</v>
      </c>
      <c r="F47" s="81" t="s">
        <v>86</v>
      </c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>
      <c r="A48" s="80">
        <v>47.0</v>
      </c>
      <c r="B48" s="84">
        <v>46197.0</v>
      </c>
      <c r="C48" s="80" t="s">
        <v>111</v>
      </c>
      <c r="D48" s="85">
        <v>0.1875</v>
      </c>
      <c r="E48" s="81" t="s">
        <v>148</v>
      </c>
      <c r="F48" s="81" t="s">
        <v>86</v>
      </c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>
      <c r="A49" s="80">
        <v>48.0</v>
      </c>
      <c r="B49" s="84">
        <v>46197.0</v>
      </c>
      <c r="C49" s="80" t="s">
        <v>111</v>
      </c>
      <c r="D49" s="85">
        <v>0.3125</v>
      </c>
      <c r="E49" s="81" t="s">
        <v>149</v>
      </c>
      <c r="F49" s="81" t="s">
        <v>71</v>
      </c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>
      <c r="A50" s="80">
        <v>49.0</v>
      </c>
      <c r="B50" s="84">
        <v>46198.0</v>
      </c>
      <c r="C50" s="80" t="s">
        <v>122</v>
      </c>
      <c r="D50" s="85">
        <v>0.020833333333333332</v>
      </c>
      <c r="E50" s="81" t="s">
        <v>150</v>
      </c>
      <c r="F50" s="81" t="s">
        <v>89</v>
      </c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</row>
    <row r="51">
      <c r="A51" s="80">
        <v>50.0</v>
      </c>
      <c r="B51" s="84">
        <v>46198.0</v>
      </c>
      <c r="C51" s="80" t="s">
        <v>122</v>
      </c>
      <c r="D51" s="85">
        <v>0.020833333333333332</v>
      </c>
      <c r="E51" s="81" t="s">
        <v>151</v>
      </c>
      <c r="F51" s="81" t="s">
        <v>107</v>
      </c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</row>
    <row r="52">
      <c r="A52" s="80">
        <v>51.0</v>
      </c>
      <c r="B52" s="84">
        <v>46198.0</v>
      </c>
      <c r="C52" s="80" t="s">
        <v>122</v>
      </c>
      <c r="D52" s="85">
        <v>0.14583333333333334</v>
      </c>
      <c r="E52" s="81" t="s">
        <v>152</v>
      </c>
      <c r="F52" s="81" t="s">
        <v>104</v>
      </c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>
      <c r="A53" s="80">
        <v>52.0</v>
      </c>
      <c r="B53" s="84">
        <v>46198.0</v>
      </c>
      <c r="C53" s="80" t="s">
        <v>122</v>
      </c>
      <c r="D53" s="85">
        <v>0.14583333333333334</v>
      </c>
      <c r="E53" s="81" t="s">
        <v>153</v>
      </c>
      <c r="F53" s="81" t="s">
        <v>109</v>
      </c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>
      <c r="A54" s="80">
        <v>53.0</v>
      </c>
      <c r="B54" s="84">
        <v>46198.0</v>
      </c>
      <c r="C54" s="80" t="s">
        <v>122</v>
      </c>
      <c r="D54" s="85">
        <v>0.2708333333333333</v>
      </c>
      <c r="E54" s="81" t="s">
        <v>154</v>
      </c>
      <c r="F54" s="81" t="s">
        <v>101</v>
      </c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>
      <c r="A55" s="80">
        <v>54.0</v>
      </c>
      <c r="B55" s="84">
        <v>46198.0</v>
      </c>
      <c r="C55" s="80" t="s">
        <v>122</v>
      </c>
      <c r="D55" s="85">
        <v>0.2708333333333333</v>
      </c>
      <c r="E55" s="81" t="s">
        <v>155</v>
      </c>
      <c r="F55" s="81" t="s">
        <v>68</v>
      </c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</row>
    <row r="56">
      <c r="A56" s="80">
        <v>55.0</v>
      </c>
      <c r="B56" s="84">
        <v>46199.0</v>
      </c>
      <c r="C56" s="80" t="s">
        <v>66</v>
      </c>
      <c r="D56" s="85">
        <v>0.0625</v>
      </c>
      <c r="E56" s="81" t="s">
        <v>156</v>
      </c>
      <c r="F56" s="81" t="s">
        <v>98</v>
      </c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</row>
    <row r="57">
      <c r="A57" s="80">
        <v>56.0</v>
      </c>
      <c r="B57" s="84">
        <v>46199.0</v>
      </c>
      <c r="C57" s="80" t="s">
        <v>66</v>
      </c>
      <c r="D57" s="85">
        <v>0.0625</v>
      </c>
      <c r="E57" s="81" t="s">
        <v>157</v>
      </c>
      <c r="F57" s="81" t="s">
        <v>84</v>
      </c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>
      <c r="A58" s="80">
        <v>57.0</v>
      </c>
      <c r="B58" s="84">
        <v>46199.0</v>
      </c>
      <c r="C58" s="80" t="s">
        <v>66</v>
      </c>
      <c r="D58" s="85">
        <v>0.1875</v>
      </c>
      <c r="E58" s="81" t="s">
        <v>158</v>
      </c>
      <c r="F58" s="81" t="s">
        <v>117</v>
      </c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>
      <c r="A59" s="80">
        <v>58.0</v>
      </c>
      <c r="B59" s="84">
        <v>46199.0</v>
      </c>
      <c r="C59" s="80" t="s">
        <v>66</v>
      </c>
      <c r="D59" s="85">
        <v>0.1875</v>
      </c>
      <c r="E59" s="81" t="s">
        <v>159</v>
      </c>
      <c r="F59" s="81" t="s">
        <v>96</v>
      </c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>
      <c r="A60" s="80">
        <v>59.0</v>
      </c>
      <c r="B60" s="84">
        <v>46199.0</v>
      </c>
      <c r="C60" s="80" t="s">
        <v>66</v>
      </c>
      <c r="D60" s="85">
        <v>0.3125</v>
      </c>
      <c r="E60" s="81" t="s">
        <v>160</v>
      </c>
      <c r="F60" s="81" t="s">
        <v>78</v>
      </c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>
      <c r="A61" s="80">
        <v>60.0</v>
      </c>
      <c r="B61" s="84">
        <v>46199.0</v>
      </c>
      <c r="C61" s="80" t="s">
        <v>66</v>
      </c>
      <c r="D61" s="85">
        <v>0.3125</v>
      </c>
      <c r="E61" s="81" t="s">
        <v>161</v>
      </c>
      <c r="F61" s="81" t="s">
        <v>82</v>
      </c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>
      <c r="A62" s="80">
        <v>61.0</v>
      </c>
      <c r="B62" s="84">
        <v>46200.0</v>
      </c>
      <c r="C62" s="80" t="s">
        <v>73</v>
      </c>
      <c r="D62" s="85">
        <v>0.020833333333333332</v>
      </c>
      <c r="E62" s="81" t="s">
        <v>162</v>
      </c>
      <c r="F62" s="81" t="s">
        <v>86</v>
      </c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>
      <c r="A63" s="80">
        <v>62.0</v>
      </c>
      <c r="B63" s="84">
        <v>46200.0</v>
      </c>
      <c r="C63" s="80" t="s">
        <v>73</v>
      </c>
      <c r="D63" s="85">
        <v>0.020833333333333332</v>
      </c>
      <c r="E63" s="81" t="s">
        <v>163</v>
      </c>
      <c r="F63" s="81" t="s">
        <v>75</v>
      </c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>
      <c r="A64" s="86">
        <v>63.0</v>
      </c>
      <c r="B64" s="87">
        <v>46200.0</v>
      </c>
      <c r="C64" s="86" t="s">
        <v>73</v>
      </c>
      <c r="D64" s="88">
        <v>0.22916666666666666</v>
      </c>
      <c r="E64" s="86" t="s">
        <v>164</v>
      </c>
      <c r="F64" s="86" t="s">
        <v>92</v>
      </c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</row>
    <row r="65">
      <c r="A65" s="89">
        <v>64.0</v>
      </c>
      <c r="B65" s="90">
        <v>46200.0</v>
      </c>
      <c r="C65" s="89" t="s">
        <v>73</v>
      </c>
      <c r="D65" s="91">
        <v>0.22916666666666666</v>
      </c>
      <c r="E65" s="89" t="s">
        <v>165</v>
      </c>
      <c r="F65" s="89" t="s">
        <v>71</v>
      </c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</row>
    <row r="66">
      <c r="A66" s="86">
        <v>65.0</v>
      </c>
      <c r="B66" s="87">
        <v>46200.0</v>
      </c>
      <c r="C66" s="86" t="s">
        <v>73</v>
      </c>
      <c r="D66" s="88">
        <v>0.3541666666666667</v>
      </c>
      <c r="E66" s="86" t="s">
        <v>166</v>
      </c>
      <c r="F66" s="86" t="s">
        <v>89</v>
      </c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>
      <c r="A67" s="89">
        <v>66.0</v>
      </c>
      <c r="B67" s="90">
        <v>46200.0</v>
      </c>
      <c r="C67" s="89" t="s">
        <v>73</v>
      </c>
      <c r="D67" s="91">
        <v>0.3541666666666667</v>
      </c>
      <c r="E67" s="89" t="s">
        <v>167</v>
      </c>
      <c r="F67" s="89" t="s">
        <v>107</v>
      </c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>
      <c r="A68" s="82">
        <v>67.0</v>
      </c>
      <c r="B68" s="92">
        <v>46201.0</v>
      </c>
      <c r="C68" s="82" t="s">
        <v>80</v>
      </c>
      <c r="D68" s="93">
        <v>0.10416666666666667</v>
      </c>
      <c r="E68" s="82" t="s">
        <v>168</v>
      </c>
      <c r="F68" s="82" t="s">
        <v>84</v>
      </c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>
      <c r="A69" s="82">
        <v>68.0</v>
      </c>
      <c r="B69" s="92">
        <v>46201.0</v>
      </c>
      <c r="C69" s="82" t="s">
        <v>80</v>
      </c>
      <c r="D69" s="93">
        <v>0.10416666666666667</v>
      </c>
      <c r="E69" s="82" t="s">
        <v>169</v>
      </c>
      <c r="F69" s="82" t="s">
        <v>98</v>
      </c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>
      <c r="A70" s="82">
        <v>69.0</v>
      </c>
      <c r="B70" s="92">
        <v>46201.0</v>
      </c>
      <c r="C70" s="82" t="s">
        <v>80</v>
      </c>
      <c r="D70" s="93">
        <v>0.20833333333333334</v>
      </c>
      <c r="E70" s="82" t="s">
        <v>170</v>
      </c>
      <c r="F70" s="82" t="s">
        <v>109</v>
      </c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>
      <c r="A71" s="82">
        <v>70.0</v>
      </c>
      <c r="B71" s="92">
        <v>46201.0</v>
      </c>
      <c r="C71" s="82" t="s">
        <v>80</v>
      </c>
      <c r="D71" s="93">
        <v>0.20833333333333334</v>
      </c>
      <c r="E71" s="82" t="s">
        <v>171</v>
      </c>
      <c r="F71" s="82" t="s">
        <v>104</v>
      </c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>
      <c r="A72" s="82">
        <v>71.0</v>
      </c>
      <c r="B72" s="92">
        <v>46201.0</v>
      </c>
      <c r="C72" s="82" t="s">
        <v>80</v>
      </c>
      <c r="D72" s="93">
        <v>0.3125</v>
      </c>
      <c r="E72" s="82" t="s">
        <v>172</v>
      </c>
      <c r="F72" s="82" t="s">
        <v>117</v>
      </c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>
      <c r="A73" s="82">
        <v>72.0</v>
      </c>
      <c r="B73" s="92">
        <v>46201.0</v>
      </c>
      <c r="C73" s="82" t="s">
        <v>80</v>
      </c>
      <c r="D73" s="93">
        <v>0.3125</v>
      </c>
      <c r="E73" s="82" t="s">
        <v>173</v>
      </c>
      <c r="F73" s="82" t="s">
        <v>96</v>
      </c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</row>
    <row r="74">
      <c r="A74" s="82">
        <v>73.0</v>
      </c>
      <c r="B74" s="92">
        <v>46202.0</v>
      </c>
      <c r="C74" s="82" t="s">
        <v>94</v>
      </c>
      <c r="D74" s="93">
        <v>0.020833333333333332</v>
      </c>
      <c r="E74" s="82" t="s">
        <v>174</v>
      </c>
      <c r="F74" s="82" t="s">
        <v>78</v>
      </c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</row>
    <row r="75">
      <c r="A75" s="82">
        <v>74.0</v>
      </c>
      <c r="B75" s="92">
        <v>46202.0</v>
      </c>
      <c r="C75" s="82" t="s">
        <v>94</v>
      </c>
      <c r="D75" s="93">
        <v>0.9375</v>
      </c>
      <c r="E75" s="82" t="s">
        <v>175</v>
      </c>
      <c r="F75" s="82" t="s">
        <v>92</v>
      </c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>
      <c r="A76" s="82">
        <v>75.0</v>
      </c>
      <c r="B76" s="92">
        <v>46203.0</v>
      </c>
      <c r="C76" s="82" t="s">
        <v>105</v>
      </c>
      <c r="D76" s="93">
        <v>0.08333333333333333</v>
      </c>
      <c r="E76" s="82" t="s">
        <v>176</v>
      </c>
      <c r="F76" s="82" t="s">
        <v>86</v>
      </c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>
      <c r="A77" s="82">
        <v>76.0</v>
      </c>
      <c r="B77" s="92">
        <v>46203.0</v>
      </c>
      <c r="C77" s="82" t="s">
        <v>105</v>
      </c>
      <c r="D77" s="93">
        <v>0.2708333333333333</v>
      </c>
      <c r="E77" s="82" t="s">
        <v>177</v>
      </c>
      <c r="F77" s="82" t="s">
        <v>101</v>
      </c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>
      <c r="A78" s="82">
        <v>77.0</v>
      </c>
      <c r="B78" s="92">
        <v>46203.0</v>
      </c>
      <c r="C78" s="82" t="s">
        <v>105</v>
      </c>
      <c r="D78" s="93">
        <v>0.9375</v>
      </c>
      <c r="E78" s="82" t="s">
        <v>178</v>
      </c>
      <c r="F78" s="82" t="s">
        <v>96</v>
      </c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>
      <c r="A79" s="82">
        <v>78.0</v>
      </c>
      <c r="B79" s="92">
        <v>46204.0</v>
      </c>
      <c r="C79" s="82" t="s">
        <v>111</v>
      </c>
      <c r="D79" s="93">
        <v>0.10416666666666667</v>
      </c>
      <c r="E79" s="82" t="s">
        <v>179</v>
      </c>
      <c r="F79" s="82" t="s">
        <v>84</v>
      </c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</row>
    <row r="80">
      <c r="A80" s="82">
        <v>79.0</v>
      </c>
      <c r="B80" s="92">
        <v>46204.0</v>
      </c>
      <c r="C80" s="82" t="s">
        <v>111</v>
      </c>
      <c r="D80" s="93">
        <v>0.2708333333333333</v>
      </c>
      <c r="E80" s="82" t="s">
        <v>180</v>
      </c>
      <c r="F80" s="82" t="s">
        <v>68</v>
      </c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</row>
    <row r="81">
      <c r="A81" s="82">
        <v>80.0</v>
      </c>
      <c r="B81" s="92">
        <v>46204.0</v>
      </c>
      <c r="C81" s="82" t="s">
        <v>111</v>
      </c>
      <c r="D81" s="93">
        <v>0.8958333333333334</v>
      </c>
      <c r="E81" s="82" t="s">
        <v>181</v>
      </c>
      <c r="F81" s="82" t="s">
        <v>104</v>
      </c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>
      <c r="A82" s="82">
        <v>81.0</v>
      </c>
      <c r="B82" s="92">
        <v>46205.0</v>
      </c>
      <c r="C82" s="82" t="s">
        <v>122</v>
      </c>
      <c r="D82" s="93">
        <v>0.0625</v>
      </c>
      <c r="E82" s="82" t="s">
        <v>182</v>
      </c>
      <c r="F82" s="82" t="s">
        <v>107</v>
      </c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>
      <c r="A83" s="82">
        <v>82.0</v>
      </c>
      <c r="B83" s="92">
        <v>46205.0</v>
      </c>
      <c r="C83" s="82" t="s">
        <v>122</v>
      </c>
      <c r="D83" s="93">
        <v>0.0625</v>
      </c>
      <c r="E83" s="82" t="s">
        <v>183</v>
      </c>
      <c r="F83" s="82" t="s">
        <v>82</v>
      </c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>
      <c r="A84" s="82">
        <v>83.0</v>
      </c>
      <c r="B84" s="92">
        <v>46205.0</v>
      </c>
      <c r="C84" s="82" t="s">
        <v>122</v>
      </c>
      <c r="D84" s="93">
        <v>0.22916666666666666</v>
      </c>
      <c r="E84" s="82" t="s">
        <v>184</v>
      </c>
      <c r="F84" s="82" t="s">
        <v>78</v>
      </c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</row>
    <row r="85">
      <c r="A85" s="82">
        <v>84.0</v>
      </c>
      <c r="B85" s="92">
        <v>46206.0</v>
      </c>
      <c r="C85" s="82" t="s">
        <v>66</v>
      </c>
      <c r="D85" s="93">
        <v>0.020833333333333332</v>
      </c>
      <c r="E85" s="82" t="s">
        <v>185</v>
      </c>
      <c r="F85" s="82" t="s">
        <v>75</v>
      </c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>
      <c r="A86" s="82">
        <v>85.0</v>
      </c>
      <c r="B86" s="92">
        <v>46206.0</v>
      </c>
      <c r="C86" s="82" t="s">
        <v>66</v>
      </c>
      <c r="D86" s="93">
        <v>0.1875</v>
      </c>
      <c r="E86" s="82" t="s">
        <v>186</v>
      </c>
      <c r="F86" s="82" t="s">
        <v>89</v>
      </c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>
      <c r="A87" s="82">
        <v>86.0</v>
      </c>
      <c r="B87" s="92">
        <v>46206.0</v>
      </c>
      <c r="C87" s="82" t="s">
        <v>66</v>
      </c>
      <c r="D87" s="93">
        <v>0.3541666666666667</v>
      </c>
      <c r="E87" s="82" t="s">
        <v>187</v>
      </c>
      <c r="F87" s="82" t="s">
        <v>96</v>
      </c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>
      <c r="A88" s="82">
        <v>87.0</v>
      </c>
      <c r="B88" s="92">
        <v>46206.0</v>
      </c>
      <c r="C88" s="82" t="s">
        <v>66</v>
      </c>
      <c r="D88" s="93">
        <v>0.9791666666666666</v>
      </c>
      <c r="E88" s="82" t="s">
        <v>188</v>
      </c>
      <c r="F88" s="82" t="s">
        <v>109</v>
      </c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</row>
    <row r="89">
      <c r="A89" s="82">
        <v>88.0</v>
      </c>
      <c r="B89" s="92">
        <v>46207.0</v>
      </c>
      <c r="C89" s="82" t="s">
        <v>73</v>
      </c>
      <c r="D89" s="93">
        <v>0.14583333333333334</v>
      </c>
      <c r="E89" s="82" t="s">
        <v>189</v>
      </c>
      <c r="F89" s="82" t="s">
        <v>117</v>
      </c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>
      <c r="A90" s="82">
        <v>89.0</v>
      </c>
      <c r="B90" s="92">
        <v>46207.0</v>
      </c>
      <c r="C90" s="82" t="s">
        <v>73</v>
      </c>
      <c r="D90" s="93">
        <v>0.2916666666666667</v>
      </c>
      <c r="E90" s="82" t="s">
        <v>190</v>
      </c>
      <c r="F90" s="82" t="s">
        <v>92</v>
      </c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</row>
    <row r="91">
      <c r="A91" s="82">
        <v>90.0</v>
      </c>
      <c r="B91" s="92">
        <v>46207.0</v>
      </c>
      <c r="C91" s="82" t="s">
        <v>73</v>
      </c>
      <c r="D91" s="93">
        <v>0.9375</v>
      </c>
      <c r="E91" s="82" t="s">
        <v>191</v>
      </c>
      <c r="F91" s="82" t="s">
        <v>98</v>
      </c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>
      <c r="A92" s="82">
        <v>91.0</v>
      </c>
      <c r="B92" s="92">
        <v>46208.0</v>
      </c>
      <c r="C92" s="82" t="s">
        <v>80</v>
      </c>
      <c r="D92" s="93">
        <v>0.10416666666666667</v>
      </c>
      <c r="E92" s="82" t="s">
        <v>192</v>
      </c>
      <c r="F92" s="82" t="s">
        <v>84</v>
      </c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>
      <c r="A93" s="82">
        <v>92.0</v>
      </c>
      <c r="B93" s="92">
        <v>46209.0</v>
      </c>
      <c r="C93" s="82" t="s">
        <v>94</v>
      </c>
      <c r="D93" s="93">
        <v>0.0625</v>
      </c>
      <c r="E93" s="82" t="s">
        <v>193</v>
      </c>
      <c r="F93" s="82" t="s">
        <v>68</v>
      </c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>
      <c r="A94" s="82">
        <v>93.0</v>
      </c>
      <c r="B94" s="92">
        <v>46209.0</v>
      </c>
      <c r="C94" s="82" t="s">
        <v>94</v>
      </c>
      <c r="D94" s="93">
        <v>0.22916666666666666</v>
      </c>
      <c r="E94" s="82" t="s">
        <v>194</v>
      </c>
      <c r="F94" s="82" t="s">
        <v>96</v>
      </c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</row>
    <row r="95">
      <c r="A95" s="82">
        <v>94.0</v>
      </c>
      <c r="B95" s="92">
        <v>46210.0</v>
      </c>
      <c r="C95" s="82" t="s">
        <v>105</v>
      </c>
      <c r="D95" s="93">
        <v>0.0625</v>
      </c>
      <c r="E95" s="82" t="s">
        <v>195</v>
      </c>
      <c r="F95" s="82" t="s">
        <v>107</v>
      </c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</row>
    <row r="96">
      <c r="A96" s="82">
        <v>95.0</v>
      </c>
      <c r="B96" s="92">
        <v>46210.0</v>
      </c>
      <c r="C96" s="82" t="s">
        <v>105</v>
      </c>
      <c r="D96" s="93">
        <v>0.8958333333333334</v>
      </c>
      <c r="E96" s="82" t="s">
        <v>196</v>
      </c>
      <c r="F96" s="82" t="s">
        <v>104</v>
      </c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</row>
    <row r="97">
      <c r="A97" s="82">
        <v>96.0</v>
      </c>
      <c r="B97" s="92">
        <v>46211.0</v>
      </c>
      <c r="C97" s="82" t="s">
        <v>111</v>
      </c>
      <c r="D97" s="93">
        <v>0.0625</v>
      </c>
      <c r="E97" s="82" t="s">
        <v>197</v>
      </c>
      <c r="F97" s="82" t="s">
        <v>89</v>
      </c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</row>
    <row r="98">
      <c r="A98" s="82">
        <v>97.0</v>
      </c>
      <c r="B98" s="92">
        <v>46213.0</v>
      </c>
      <c r="C98" s="82" t="s">
        <v>66</v>
      </c>
      <c r="D98" s="93">
        <v>0.0625</v>
      </c>
      <c r="E98" s="82" t="s">
        <v>198</v>
      </c>
      <c r="F98" s="82" t="s">
        <v>86</v>
      </c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</row>
    <row r="99">
      <c r="A99" s="82">
        <v>98.0</v>
      </c>
      <c r="B99" s="92">
        <v>46214.0</v>
      </c>
      <c r="C99" s="82" t="s">
        <v>73</v>
      </c>
      <c r="D99" s="93">
        <v>0.020833333333333332</v>
      </c>
      <c r="E99" s="82" t="s">
        <v>199</v>
      </c>
      <c r="F99" s="82" t="s">
        <v>78</v>
      </c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</row>
    <row r="100">
      <c r="A100" s="82">
        <v>99.0</v>
      </c>
      <c r="B100" s="92">
        <v>46215.0</v>
      </c>
      <c r="C100" s="82" t="s">
        <v>80</v>
      </c>
      <c r="D100" s="93">
        <v>0.10416666666666667</v>
      </c>
      <c r="E100" s="82" t="s">
        <v>200</v>
      </c>
      <c r="F100" s="82" t="s">
        <v>109</v>
      </c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>
      <c r="A101" s="82">
        <v>100.0</v>
      </c>
      <c r="B101" s="92">
        <v>46215.0</v>
      </c>
      <c r="C101" s="82" t="s">
        <v>80</v>
      </c>
      <c r="D101" s="93">
        <v>0.2708333333333333</v>
      </c>
      <c r="E101" s="82" t="s">
        <v>201</v>
      </c>
      <c r="F101" s="82" t="s">
        <v>117</v>
      </c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</row>
    <row r="102">
      <c r="A102" s="82">
        <v>101.0</v>
      </c>
      <c r="B102" s="92">
        <v>46218.0</v>
      </c>
      <c r="C102" s="82" t="s">
        <v>111</v>
      </c>
      <c r="D102" s="93">
        <v>0.020833333333333332</v>
      </c>
      <c r="E102" s="82" t="s">
        <v>202</v>
      </c>
      <c r="F102" s="82" t="s">
        <v>96</v>
      </c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</row>
    <row r="103">
      <c r="A103" s="82">
        <v>102.0</v>
      </c>
      <c r="B103" s="92">
        <v>46219.0</v>
      </c>
      <c r="C103" s="82" t="s">
        <v>122</v>
      </c>
      <c r="D103" s="93">
        <v>0.020833333333333332</v>
      </c>
      <c r="E103" s="82" t="s">
        <v>203</v>
      </c>
      <c r="F103" s="82" t="s">
        <v>104</v>
      </c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>
      <c r="A104" s="82">
        <v>103.0</v>
      </c>
      <c r="B104" s="92">
        <v>46222.0</v>
      </c>
      <c r="C104" s="82" t="s">
        <v>80</v>
      </c>
      <c r="D104" s="93">
        <v>0.10416666666666667</v>
      </c>
      <c r="E104" s="82" t="s">
        <v>204</v>
      </c>
      <c r="F104" s="82" t="s">
        <v>109</v>
      </c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>
      <c r="A105" s="82">
        <v>104.0</v>
      </c>
      <c r="B105" s="92">
        <v>46223.0</v>
      </c>
      <c r="C105" s="82" t="s">
        <v>94</v>
      </c>
      <c r="D105" s="93">
        <v>0.020833333333333332</v>
      </c>
      <c r="E105" s="82" t="s">
        <v>205</v>
      </c>
      <c r="F105" s="89" t="s">
        <v>84</v>
      </c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>
      <c r="A106" s="83"/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>
      <c r="A107" s="83"/>
      <c r="B107" s="83"/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>
      <c r="A108" s="83"/>
      <c r="B108" s="83"/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>
      <c r="A109" s="83"/>
      <c r="B109" s="83"/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</row>
    <row r="110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</row>
    <row r="111">
      <c r="A111" s="83"/>
      <c r="B111" s="83"/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</row>
    <row r="112">
      <c r="A112" s="83"/>
      <c r="B112" s="83"/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</row>
    <row r="113">
      <c r="A113" s="83"/>
      <c r="B113" s="83"/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</row>
    <row r="114">
      <c r="A114" s="83"/>
      <c r="B114" s="83"/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</row>
    <row r="115">
      <c r="A115" s="83"/>
      <c r="B115" s="83"/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</row>
    <row r="116">
      <c r="A116" s="83"/>
      <c r="B116" s="83"/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</row>
    <row r="117">
      <c r="A117" s="83"/>
      <c r="B117" s="83"/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</row>
    <row r="118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</row>
    <row r="119">
      <c r="A119" s="83"/>
      <c r="B119" s="83"/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</row>
    <row r="120">
      <c r="A120" s="83"/>
      <c r="B120" s="83"/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</row>
    <row r="121">
      <c r="A121" s="83"/>
      <c r="B121" s="83"/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</row>
    <row r="122">
      <c r="A122" s="83"/>
      <c r="B122" s="83"/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</row>
    <row r="123">
      <c r="A123" s="83"/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</row>
    <row r="124">
      <c r="A124" s="83"/>
      <c r="B124" s="83"/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</row>
    <row r="125">
      <c r="A125" s="83"/>
      <c r="B125" s="83"/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</row>
    <row r="126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</row>
    <row r="127">
      <c r="A127" s="83"/>
      <c r="B127" s="83"/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</row>
    <row r="128">
      <c r="A128" s="83"/>
      <c r="B128" s="83"/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</row>
    <row r="129">
      <c r="A129" s="83"/>
      <c r="B129" s="83"/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</row>
    <row r="130">
      <c r="A130" s="83"/>
      <c r="B130" s="83"/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</row>
    <row r="131">
      <c r="A131" s="83"/>
      <c r="B131" s="83"/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</row>
    <row r="132">
      <c r="A132" s="83"/>
      <c r="B132" s="83"/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</row>
    <row r="133">
      <c r="A133" s="83"/>
      <c r="B133" s="83"/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</row>
    <row r="134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</row>
    <row r="135">
      <c r="A135" s="83"/>
      <c r="B135" s="83"/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</row>
    <row r="136">
      <c r="A136" s="83"/>
      <c r="B136" s="83"/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</row>
    <row r="137">
      <c r="A137" s="83"/>
      <c r="B137" s="83"/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</row>
    <row r="138">
      <c r="A138" s="83"/>
      <c r="B138" s="83"/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</row>
    <row r="139">
      <c r="A139" s="83"/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</row>
    <row r="140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</row>
    <row r="141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</row>
    <row r="142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</row>
    <row r="143">
      <c r="A143" s="83"/>
      <c r="B143" s="83"/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</row>
    <row r="144">
      <c r="A144" s="83"/>
      <c r="B144" s="83"/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</row>
    <row r="145">
      <c r="A145" s="83"/>
      <c r="B145" s="83"/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</row>
    <row r="146">
      <c r="A146" s="83"/>
      <c r="B146" s="83"/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</row>
    <row r="147">
      <c r="A147" s="83"/>
      <c r="B147" s="83"/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</row>
    <row r="148">
      <c r="A148" s="83"/>
      <c r="B148" s="83"/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</row>
    <row r="149">
      <c r="A149" s="83"/>
      <c r="B149" s="83"/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</row>
    <row r="150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</row>
    <row r="151">
      <c r="A151" s="83"/>
      <c r="B151" s="83"/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</row>
    <row r="152">
      <c r="A152" s="83"/>
      <c r="B152" s="83"/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</row>
    <row r="153">
      <c r="A153" s="83"/>
      <c r="B153" s="83"/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</row>
    <row r="154">
      <c r="A154" s="83"/>
      <c r="B154" s="83"/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</row>
    <row r="155">
      <c r="A155" s="83"/>
      <c r="B155" s="83"/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</row>
    <row r="156">
      <c r="A156" s="83"/>
      <c r="B156" s="83"/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</row>
    <row r="157">
      <c r="A157" s="83"/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</row>
    <row r="158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</row>
    <row r="159">
      <c r="A159" s="83"/>
      <c r="B159" s="83"/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</row>
    <row r="160">
      <c r="A160" s="83"/>
      <c r="B160" s="83"/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</row>
    <row r="161">
      <c r="A161" s="83"/>
      <c r="B161" s="83"/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</row>
    <row r="162">
      <c r="A162" s="83"/>
      <c r="B162" s="83"/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</row>
    <row r="163">
      <c r="A163" s="83"/>
      <c r="B163" s="83"/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</row>
    <row r="164">
      <c r="A164" s="83"/>
      <c r="B164" s="83"/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</row>
    <row r="165">
      <c r="A165" s="83"/>
      <c r="B165" s="83"/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</row>
    <row r="166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</row>
    <row r="167">
      <c r="A167" s="83"/>
      <c r="B167" s="83"/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</row>
    <row r="168">
      <c r="A168" s="83"/>
      <c r="B168" s="83"/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</row>
    <row r="169">
      <c r="A169" s="83"/>
      <c r="B169" s="83"/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</row>
    <row r="170">
      <c r="A170" s="83"/>
      <c r="B170" s="83"/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</row>
    <row r="171">
      <c r="A171" s="83"/>
      <c r="B171" s="83"/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</row>
    <row r="172">
      <c r="A172" s="83"/>
      <c r="B172" s="83"/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</row>
    <row r="173">
      <c r="A173" s="83"/>
      <c r="B173" s="83"/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</row>
    <row r="174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</row>
    <row r="175">
      <c r="A175" s="83"/>
      <c r="B175" s="83"/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</row>
    <row r="176">
      <c r="A176" s="83"/>
      <c r="B176" s="83"/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</row>
    <row r="177">
      <c r="A177" s="83"/>
      <c r="B177" s="83"/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</row>
    <row r="178">
      <c r="A178" s="83"/>
      <c r="B178" s="83"/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</row>
    <row r="179">
      <c r="A179" s="83"/>
      <c r="B179" s="83"/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</row>
    <row r="180">
      <c r="A180" s="83"/>
      <c r="B180" s="83"/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</row>
    <row r="181">
      <c r="A181" s="83"/>
      <c r="B181" s="83"/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</row>
    <row r="182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</row>
    <row r="183">
      <c r="A183" s="83"/>
      <c r="B183" s="83"/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</row>
    <row r="184">
      <c r="A184" s="83"/>
      <c r="B184" s="83"/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</row>
    <row r="185">
      <c r="A185" s="83"/>
      <c r="B185" s="83"/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</row>
    <row r="186">
      <c r="A186" s="83"/>
      <c r="B186" s="83"/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</row>
    <row r="187">
      <c r="A187" s="83"/>
      <c r="B187" s="83"/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</row>
    <row r="188">
      <c r="A188" s="83"/>
      <c r="B188" s="83"/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</row>
    <row r="189">
      <c r="A189" s="83"/>
      <c r="B189" s="83"/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</row>
    <row r="190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</row>
    <row r="191">
      <c r="A191" s="83"/>
      <c r="B191" s="83"/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</row>
    <row r="192">
      <c r="A192" s="83"/>
      <c r="B192" s="83"/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</row>
    <row r="193">
      <c r="A193" s="83"/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</row>
    <row r="194">
      <c r="A194" s="83"/>
      <c r="B194" s="83"/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</row>
    <row r="195">
      <c r="A195" s="83"/>
      <c r="B195" s="83"/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</row>
    <row r="196">
      <c r="A196" s="83"/>
      <c r="B196" s="83"/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</row>
    <row r="197">
      <c r="A197" s="83"/>
      <c r="B197" s="83"/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</row>
    <row r="198">
      <c r="A198" s="83"/>
      <c r="B198" s="83"/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</row>
    <row r="199">
      <c r="A199" s="83"/>
      <c r="B199" s="83"/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</row>
    <row r="200">
      <c r="A200" s="83"/>
      <c r="B200" s="83"/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</row>
    <row r="201">
      <c r="A201" s="83"/>
      <c r="B201" s="83"/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</row>
    <row r="202">
      <c r="A202" s="83"/>
      <c r="B202" s="83"/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</row>
    <row r="203">
      <c r="A203" s="83"/>
      <c r="B203" s="83"/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</row>
    <row r="204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</row>
    <row r="205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</row>
    <row r="206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</row>
    <row r="207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</row>
    <row r="208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</row>
    <row r="209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</row>
    <row r="210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</row>
    <row r="21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</row>
    <row r="212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</row>
    <row r="213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</row>
    <row r="214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</row>
    <row r="215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</row>
    <row r="216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</row>
    <row r="217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</row>
    <row r="218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</row>
    <row r="219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</row>
    <row r="220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</row>
    <row r="221">
      <c r="A221" s="83"/>
      <c r="B221" s="83"/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  <c r="O221" s="83"/>
      <c r="P221" s="83"/>
      <c r="Q221" s="83"/>
      <c r="R221" s="83"/>
      <c r="S221" s="83"/>
      <c r="T221" s="83"/>
      <c r="U221" s="83"/>
      <c r="V221" s="83"/>
      <c r="W221" s="83"/>
      <c r="X221" s="83"/>
      <c r="Y221" s="83"/>
    </row>
    <row r="222">
      <c r="A222" s="83"/>
      <c r="B222" s="83"/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  <c r="O222" s="83"/>
      <c r="P222" s="83"/>
      <c r="Q222" s="83"/>
      <c r="R222" s="83"/>
      <c r="S222" s="83"/>
      <c r="T222" s="83"/>
      <c r="U222" s="83"/>
      <c r="V222" s="83"/>
      <c r="W222" s="83"/>
      <c r="X222" s="83"/>
      <c r="Y222" s="83"/>
    </row>
    <row r="223">
      <c r="A223" s="83"/>
      <c r="B223" s="83"/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  <c r="O223" s="83"/>
      <c r="P223" s="83"/>
      <c r="Q223" s="83"/>
      <c r="R223" s="83"/>
      <c r="S223" s="83"/>
      <c r="T223" s="83"/>
      <c r="U223" s="83"/>
      <c r="V223" s="83"/>
      <c r="W223" s="83"/>
      <c r="X223" s="83"/>
      <c r="Y223" s="83"/>
    </row>
    <row r="224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</row>
    <row r="225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</row>
    <row r="226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</row>
    <row r="227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</row>
    <row r="228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</row>
    <row r="229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</row>
    <row r="230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</row>
    <row r="23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</row>
    <row r="232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</row>
    <row r="233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</row>
    <row r="234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</row>
    <row r="235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</row>
    <row r="236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</row>
    <row r="237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</row>
    <row r="238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</row>
    <row r="239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</row>
    <row r="240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</row>
    <row r="24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</row>
    <row r="242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</row>
    <row r="243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</row>
    <row r="244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</row>
    <row r="245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</row>
    <row r="246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</row>
    <row r="247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</row>
    <row r="248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</row>
    <row r="249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</row>
    <row r="250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</row>
    <row r="25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</row>
    <row r="252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</row>
    <row r="253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</row>
    <row r="254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</row>
    <row r="255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</row>
    <row r="256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</row>
    <row r="257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</row>
    <row r="258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</row>
    <row r="259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</row>
    <row r="260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</row>
    <row r="26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</row>
    <row r="262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</row>
    <row r="263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</row>
    <row r="264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</row>
    <row r="265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</row>
    <row r="266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</row>
    <row r="267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</row>
    <row r="268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</row>
    <row r="269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</row>
    <row r="270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</row>
    <row r="27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</row>
    <row r="272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</row>
    <row r="273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</row>
    <row r="274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</row>
    <row r="275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</row>
    <row r="276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</row>
    <row r="277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</row>
    <row r="278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</row>
    <row r="279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</row>
    <row r="280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</row>
    <row r="28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</row>
    <row r="282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</row>
    <row r="283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</row>
    <row r="284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</row>
    <row r="285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</row>
    <row r="286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</row>
    <row r="287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</row>
    <row r="288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</row>
    <row r="289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</row>
    <row r="290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</row>
    <row r="29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</row>
    <row r="292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</row>
    <row r="293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</row>
    <row r="294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</row>
    <row r="295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</row>
    <row r="296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</row>
    <row r="297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</row>
    <row r="298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</row>
    <row r="299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</row>
    <row r="300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</row>
    <row r="30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</row>
    <row r="302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</row>
    <row r="303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</row>
    <row r="304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</row>
    <row r="305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</row>
    <row r="306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</row>
    <row r="307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</row>
    <row r="308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</row>
    <row r="309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</row>
    <row r="310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</row>
    <row r="31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</row>
    <row r="312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</row>
    <row r="313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</row>
    <row r="314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</row>
    <row r="315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</row>
    <row r="316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</row>
    <row r="317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</row>
    <row r="318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</row>
    <row r="319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</row>
    <row r="320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</row>
    <row r="32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</row>
    <row r="322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</row>
    <row r="323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</row>
    <row r="324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</row>
    <row r="325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</row>
    <row r="326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</row>
    <row r="327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</row>
    <row r="328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</row>
    <row r="329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</row>
    <row r="330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</row>
    <row r="33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</row>
    <row r="332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</row>
    <row r="333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</row>
    <row r="334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</row>
    <row r="335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</row>
    <row r="336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</row>
    <row r="337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</row>
    <row r="338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</row>
    <row r="339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</row>
    <row r="340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</row>
    <row r="34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</row>
    <row r="342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</row>
    <row r="343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</row>
    <row r="344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</row>
    <row r="345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</row>
    <row r="346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</row>
    <row r="347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</row>
    <row r="348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</row>
    <row r="349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</row>
    <row r="350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</row>
    <row r="35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</row>
    <row r="352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</row>
    <row r="353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</row>
    <row r="354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</row>
    <row r="355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</row>
    <row r="356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</row>
    <row r="357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</row>
    <row r="358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</row>
    <row r="359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</row>
    <row r="360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</row>
    <row r="36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</row>
    <row r="362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</row>
    <row r="363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</row>
    <row r="364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</row>
    <row r="365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</row>
    <row r="366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</row>
    <row r="367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</row>
    <row r="368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</row>
    <row r="369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</row>
    <row r="370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</row>
    <row r="37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</row>
    <row r="372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</row>
    <row r="373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</row>
    <row r="374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</row>
    <row r="375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</row>
    <row r="376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</row>
    <row r="377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</row>
    <row r="378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</row>
    <row r="379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</row>
    <row r="380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</row>
    <row r="38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</row>
    <row r="382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</row>
    <row r="383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</row>
    <row r="384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</row>
    <row r="385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</row>
    <row r="386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</row>
    <row r="387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</row>
    <row r="388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</row>
    <row r="389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</row>
    <row r="390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</row>
    <row r="39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</row>
    <row r="392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</row>
    <row r="393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</row>
    <row r="394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</row>
    <row r="395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</row>
    <row r="396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</row>
    <row r="397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</row>
    <row r="398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</row>
    <row r="399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</row>
    <row r="400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</row>
    <row r="40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</row>
    <row r="402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</row>
    <row r="403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</row>
    <row r="404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</row>
    <row r="405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</row>
    <row r="406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</row>
    <row r="407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</row>
    <row r="408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</row>
    <row r="409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</row>
    <row r="410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</row>
    <row r="41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</row>
    <row r="412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</row>
    <row r="413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</row>
    <row r="414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</row>
    <row r="415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</row>
    <row r="416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</row>
    <row r="417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</row>
    <row r="418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</row>
    <row r="419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</row>
    <row r="420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</row>
    <row r="42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</row>
    <row r="422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</row>
    <row r="423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</row>
    <row r="424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</row>
    <row r="425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</row>
    <row r="426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</row>
    <row r="427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</row>
    <row r="428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</row>
    <row r="429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</row>
    <row r="430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</row>
    <row r="43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</row>
    <row r="432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</row>
    <row r="433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</row>
    <row r="434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</row>
    <row r="435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</row>
    <row r="436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</row>
    <row r="437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</row>
    <row r="438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</row>
    <row r="439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</row>
    <row r="440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</row>
    <row r="44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</row>
    <row r="442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</row>
    <row r="443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</row>
    <row r="444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</row>
    <row r="445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</row>
    <row r="446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</row>
    <row r="447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</row>
    <row r="448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</row>
    <row r="449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</row>
    <row r="450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</row>
    <row r="45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</row>
    <row r="452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</row>
    <row r="453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</row>
    <row r="454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</row>
    <row r="455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</row>
    <row r="456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</row>
    <row r="457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</row>
    <row r="458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</row>
    <row r="459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</row>
    <row r="460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</row>
    <row r="46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</row>
    <row r="462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</row>
    <row r="463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</row>
    <row r="464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</row>
    <row r="465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</row>
    <row r="466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</row>
    <row r="467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</row>
    <row r="468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</row>
    <row r="469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</row>
    <row r="470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</row>
    <row r="47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</row>
    <row r="472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</row>
    <row r="473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</row>
    <row r="474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</row>
    <row r="475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</row>
    <row r="476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</row>
    <row r="477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</row>
    <row r="478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</row>
    <row r="479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</row>
    <row r="480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</row>
    <row r="48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</row>
    <row r="482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</row>
    <row r="483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</row>
    <row r="484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</row>
    <row r="485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</row>
    <row r="486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</row>
    <row r="487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</row>
    <row r="488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</row>
    <row r="489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</row>
    <row r="490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</row>
    <row r="49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</row>
    <row r="492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</row>
    <row r="493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</row>
    <row r="494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</row>
    <row r="495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</row>
    <row r="496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</row>
    <row r="497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</row>
    <row r="498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</row>
    <row r="499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</row>
    <row r="500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</row>
    <row r="50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</row>
    <row r="502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</row>
    <row r="503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</row>
    <row r="504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</row>
    <row r="505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</row>
    <row r="506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</row>
    <row r="507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</row>
    <row r="508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</row>
    <row r="509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</row>
    <row r="510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</row>
    <row r="51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</row>
    <row r="512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</row>
    <row r="513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</row>
    <row r="514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</row>
    <row r="515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</row>
    <row r="516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</row>
    <row r="517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</row>
    <row r="518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</row>
    <row r="519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</row>
    <row r="520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</row>
    <row r="52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</row>
    <row r="522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</row>
    <row r="523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</row>
    <row r="524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</row>
    <row r="525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</row>
    <row r="526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</row>
    <row r="527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</row>
    <row r="528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</row>
    <row r="529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</row>
    <row r="530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</row>
    <row r="53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</row>
    <row r="532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</row>
    <row r="533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</row>
    <row r="534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</row>
    <row r="535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</row>
    <row r="536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</row>
    <row r="537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</row>
    <row r="538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</row>
    <row r="539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</row>
    <row r="540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</row>
    <row r="54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</row>
    <row r="542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</row>
    <row r="543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</row>
    <row r="544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</row>
    <row r="545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</row>
    <row r="546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</row>
    <row r="547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</row>
    <row r="548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</row>
    <row r="549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</row>
    <row r="550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</row>
    <row r="55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</row>
    <row r="552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</row>
    <row r="553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</row>
    <row r="554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</row>
    <row r="555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</row>
    <row r="556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</row>
    <row r="557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</row>
    <row r="558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</row>
    <row r="559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</row>
    <row r="560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</row>
    <row r="56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</row>
    <row r="562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</row>
    <row r="563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</row>
    <row r="564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</row>
    <row r="565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</row>
    <row r="566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</row>
    <row r="567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</row>
    <row r="568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</row>
    <row r="569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</row>
    <row r="570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</row>
    <row r="57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</row>
    <row r="572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</row>
    <row r="573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</row>
    <row r="574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</row>
    <row r="575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</row>
    <row r="576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</row>
    <row r="577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</row>
    <row r="578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</row>
    <row r="579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</row>
    <row r="580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</row>
    <row r="58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</row>
    <row r="582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</row>
    <row r="583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</row>
    <row r="584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</row>
    <row r="585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</row>
    <row r="586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</row>
    <row r="587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</row>
    <row r="588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</row>
    <row r="589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</row>
    <row r="590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</row>
    <row r="59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</row>
    <row r="592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</row>
    <row r="593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</row>
    <row r="594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</row>
    <row r="595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</row>
    <row r="596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</row>
    <row r="597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</row>
    <row r="598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</row>
    <row r="599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</row>
    <row r="600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</row>
    <row r="60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</row>
    <row r="602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</row>
    <row r="603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</row>
    <row r="604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</row>
    <row r="605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</row>
    <row r="606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</row>
    <row r="607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</row>
    <row r="608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</row>
    <row r="609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</row>
    <row r="610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</row>
    <row r="61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</row>
    <row r="612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</row>
    <row r="613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</row>
    <row r="614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</row>
    <row r="615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</row>
    <row r="616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</row>
    <row r="617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</row>
    <row r="618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</row>
    <row r="619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</row>
    <row r="620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</row>
    <row r="62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</row>
    <row r="622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</row>
    <row r="623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</row>
    <row r="624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</row>
    <row r="625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</row>
    <row r="626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</row>
    <row r="627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</row>
    <row r="628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</row>
    <row r="629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</row>
    <row r="630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</row>
    <row r="63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</row>
    <row r="632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</row>
    <row r="633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</row>
    <row r="634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</row>
    <row r="635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</row>
    <row r="636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</row>
    <row r="637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</row>
    <row r="638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</row>
    <row r="639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</row>
    <row r="640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</row>
    <row r="64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</row>
    <row r="642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</row>
    <row r="643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</row>
    <row r="644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</row>
    <row r="645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</row>
    <row r="646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</row>
    <row r="647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</row>
    <row r="648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</row>
    <row r="649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</row>
    <row r="650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</row>
    <row r="65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</row>
    <row r="652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</row>
    <row r="653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</row>
    <row r="654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</row>
    <row r="655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</row>
    <row r="656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</row>
    <row r="657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</row>
    <row r="658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</row>
    <row r="659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</row>
    <row r="660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</row>
    <row r="66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</row>
    <row r="662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</row>
    <row r="663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</row>
    <row r="664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</row>
    <row r="665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</row>
    <row r="666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</row>
    <row r="667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</row>
    <row r="668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</row>
    <row r="669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</row>
    <row r="670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</row>
    <row r="67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</row>
    <row r="672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</row>
    <row r="673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</row>
    <row r="674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</row>
    <row r="675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</row>
    <row r="676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</row>
    <row r="677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</row>
    <row r="678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</row>
    <row r="679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</row>
    <row r="680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</row>
    <row r="68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</row>
    <row r="682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</row>
    <row r="683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</row>
    <row r="684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</row>
    <row r="685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</row>
    <row r="686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</row>
    <row r="687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</row>
    <row r="688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</row>
    <row r="689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</row>
    <row r="690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</row>
    <row r="69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</row>
    <row r="692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</row>
    <row r="693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</row>
    <row r="694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</row>
    <row r="695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</row>
    <row r="696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</row>
    <row r="697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</row>
    <row r="698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</row>
    <row r="699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</row>
    <row r="700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</row>
    <row r="70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</row>
    <row r="702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</row>
    <row r="703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</row>
    <row r="704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</row>
    <row r="705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</row>
    <row r="706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</row>
    <row r="707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</row>
    <row r="708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</row>
    <row r="709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</row>
    <row r="710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</row>
    <row r="71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</row>
    <row r="712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</row>
    <row r="713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</row>
    <row r="714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</row>
    <row r="715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</row>
    <row r="716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</row>
    <row r="717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</row>
    <row r="718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</row>
    <row r="719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</row>
    <row r="720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</row>
    <row r="72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</row>
    <row r="722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</row>
    <row r="723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</row>
    <row r="724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</row>
    <row r="725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</row>
    <row r="726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</row>
    <row r="727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</row>
    <row r="728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</row>
    <row r="729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</row>
    <row r="730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</row>
    <row r="73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</row>
    <row r="732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</row>
    <row r="733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</row>
    <row r="734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</row>
    <row r="735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</row>
    <row r="736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</row>
    <row r="737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</row>
    <row r="738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</row>
    <row r="739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</row>
    <row r="740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</row>
    <row r="74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</row>
    <row r="742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</row>
    <row r="743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</row>
    <row r="744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</row>
    <row r="745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</row>
    <row r="746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</row>
    <row r="747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</row>
    <row r="748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</row>
    <row r="749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</row>
    <row r="750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</row>
    <row r="75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</row>
    <row r="752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</row>
    <row r="753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</row>
    <row r="754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</row>
    <row r="755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</row>
    <row r="756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</row>
    <row r="757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</row>
    <row r="758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</row>
    <row r="759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</row>
    <row r="760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</row>
    <row r="76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</row>
    <row r="762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</row>
    <row r="763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</row>
    <row r="764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</row>
    <row r="765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</row>
    <row r="766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</row>
    <row r="767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</row>
    <row r="768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</row>
    <row r="769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</row>
    <row r="770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</row>
    <row r="77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</row>
    <row r="772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</row>
    <row r="773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</row>
    <row r="774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</row>
    <row r="775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</row>
    <row r="776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</row>
    <row r="777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</row>
    <row r="778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</row>
    <row r="779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</row>
    <row r="780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</row>
    <row r="78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</row>
    <row r="782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</row>
    <row r="783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</row>
    <row r="784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</row>
    <row r="785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</row>
    <row r="786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</row>
    <row r="787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</row>
    <row r="788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</row>
    <row r="789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</row>
    <row r="790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</row>
    <row r="79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</row>
    <row r="792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</row>
    <row r="793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</row>
    <row r="794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</row>
    <row r="795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</row>
    <row r="796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</row>
    <row r="797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</row>
    <row r="798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</row>
    <row r="799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</row>
    <row r="800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</row>
    <row r="80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</row>
    <row r="802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</row>
    <row r="803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</row>
    <row r="804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</row>
    <row r="805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</row>
    <row r="806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</row>
    <row r="807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</row>
    <row r="808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</row>
    <row r="809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</row>
    <row r="810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</row>
    <row r="81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</row>
    <row r="812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</row>
    <row r="813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</row>
    <row r="814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</row>
    <row r="815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</row>
    <row r="816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</row>
    <row r="817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</row>
    <row r="818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</row>
    <row r="819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</row>
    <row r="820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</row>
    <row r="82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</row>
    <row r="822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</row>
    <row r="823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</row>
    <row r="824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</row>
    <row r="825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</row>
    <row r="826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</row>
    <row r="827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</row>
    <row r="828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</row>
    <row r="829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</row>
    <row r="830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</row>
    <row r="83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</row>
    <row r="832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</row>
    <row r="833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</row>
    <row r="834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</row>
    <row r="835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</row>
    <row r="836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</row>
    <row r="837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</row>
    <row r="838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</row>
    <row r="839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</row>
    <row r="840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</row>
    <row r="84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</row>
    <row r="842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</row>
    <row r="843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</row>
    <row r="844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</row>
    <row r="845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</row>
    <row r="846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</row>
    <row r="847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</row>
    <row r="848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</row>
    <row r="849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</row>
    <row r="850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</row>
    <row r="85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</row>
    <row r="852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</row>
    <row r="853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</row>
    <row r="854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</row>
    <row r="855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</row>
    <row r="856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</row>
    <row r="857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</row>
    <row r="858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</row>
    <row r="859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</row>
    <row r="860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</row>
    <row r="86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</row>
    <row r="862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</row>
    <row r="863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</row>
    <row r="864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</row>
    <row r="865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</row>
    <row r="866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</row>
    <row r="867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</row>
    <row r="868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</row>
    <row r="869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</row>
    <row r="870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</row>
    <row r="87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</row>
    <row r="872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</row>
    <row r="873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</row>
    <row r="874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</row>
    <row r="875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</row>
    <row r="876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</row>
    <row r="877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</row>
    <row r="878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</row>
    <row r="879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</row>
    <row r="880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</row>
    <row r="88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</row>
    <row r="882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</row>
    <row r="883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</row>
    <row r="884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</row>
    <row r="885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</row>
    <row r="886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</row>
    <row r="887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</row>
    <row r="888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</row>
    <row r="889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</row>
    <row r="890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</row>
    <row r="89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</row>
    <row r="892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</row>
    <row r="893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</row>
    <row r="894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</row>
    <row r="895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</row>
    <row r="896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</row>
    <row r="897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</row>
    <row r="898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</row>
    <row r="899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</row>
    <row r="900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</row>
    <row r="90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</row>
    <row r="902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</row>
    <row r="903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</row>
    <row r="904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</row>
    <row r="905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</row>
    <row r="906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</row>
    <row r="907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</row>
    <row r="908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</row>
    <row r="909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</row>
    <row r="910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</row>
    <row r="91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</row>
    <row r="912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</row>
    <row r="913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</row>
    <row r="914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</row>
    <row r="915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</row>
    <row r="916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</row>
    <row r="917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</row>
    <row r="918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</row>
    <row r="919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</row>
    <row r="920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</row>
    <row r="92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</row>
    <row r="922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</row>
    <row r="923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</row>
    <row r="924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</row>
    <row r="925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</row>
    <row r="926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</row>
    <row r="927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</row>
    <row r="928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</row>
    <row r="929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</row>
    <row r="930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</row>
    <row r="93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</row>
    <row r="932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</row>
    <row r="933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</row>
    <row r="934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</row>
    <row r="935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</row>
    <row r="936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</row>
    <row r="937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</row>
    <row r="938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</row>
    <row r="939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</row>
    <row r="940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</row>
    <row r="94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</row>
    <row r="942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</row>
    <row r="943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</row>
    <row r="944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</row>
    <row r="945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</row>
    <row r="946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</row>
    <row r="947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</row>
    <row r="948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</row>
    <row r="949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</row>
    <row r="950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</row>
    <row r="95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</row>
    <row r="952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</row>
    <row r="953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</row>
    <row r="954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</row>
    <row r="955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</row>
    <row r="956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</row>
    <row r="957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</row>
    <row r="958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</row>
    <row r="959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</row>
    <row r="960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</row>
    <row r="96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</row>
    <row r="962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</row>
    <row r="963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</row>
    <row r="964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</row>
    <row r="965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</row>
    <row r="966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</row>
    <row r="967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</row>
    <row r="968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</row>
    <row r="969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</row>
    <row r="970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</row>
    <row r="97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</row>
    <row r="972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</row>
    <row r="973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</row>
    <row r="974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</row>
    <row r="975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</row>
    <row r="976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</row>
    <row r="977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</row>
    <row r="978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</row>
    <row r="979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</row>
    <row r="980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</row>
    <row r="98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</row>
    <row r="982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</row>
    <row r="983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</row>
    <row r="984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</row>
    <row r="985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</row>
    <row r="986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</row>
    <row r="987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</row>
    <row r="988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</row>
    <row r="989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</row>
    <row r="990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</row>
    <row r="99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</row>
    <row r="992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</row>
    <row r="993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</row>
    <row r="994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</row>
    <row r="995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</row>
    <row r="996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</row>
    <row r="997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4"/>
      <c r="B1" s="95" t="s">
        <v>206</v>
      </c>
      <c r="C1" s="96"/>
    </row>
    <row r="2">
      <c r="A2" s="94" t="s">
        <v>207</v>
      </c>
      <c r="B2" s="95" t="s">
        <v>208</v>
      </c>
      <c r="C2" s="33"/>
    </row>
    <row r="3">
      <c r="A3" s="97" t="s">
        <v>209</v>
      </c>
      <c r="B3" s="73" t="s">
        <v>210</v>
      </c>
      <c r="C3" s="33" t="s">
        <v>211</v>
      </c>
    </row>
    <row r="4">
      <c r="A4" s="97">
        <f t="shared" ref="A4:A33" si="1">SUMPRODUCT((C4&lt;C$4:C$33)/COUNTIF(C$4:C$33,C$4:C$33))+1</f>
        <v>1</v>
      </c>
      <c r="B4" s="15" t="s">
        <v>25</v>
      </c>
      <c r="C4" s="16">
        <v>32.0</v>
      </c>
    </row>
    <row r="5">
      <c r="A5" s="97">
        <f t="shared" si="1"/>
        <v>2</v>
      </c>
      <c r="B5" s="15" t="s">
        <v>20</v>
      </c>
      <c r="C5" s="16">
        <v>29.0</v>
      </c>
    </row>
    <row r="6">
      <c r="A6" s="97">
        <f t="shared" si="1"/>
        <v>2</v>
      </c>
      <c r="B6" s="15" t="s">
        <v>22</v>
      </c>
      <c r="C6" s="16">
        <v>29.0</v>
      </c>
    </row>
    <row r="7">
      <c r="A7" s="97">
        <f t="shared" si="1"/>
        <v>2</v>
      </c>
      <c r="B7" s="15" t="s">
        <v>26</v>
      </c>
      <c r="C7" s="16">
        <v>29.0</v>
      </c>
    </row>
    <row r="8">
      <c r="A8" s="97">
        <f t="shared" si="1"/>
        <v>2</v>
      </c>
      <c r="B8" s="15" t="s">
        <v>27</v>
      </c>
      <c r="C8" s="16">
        <v>29.0</v>
      </c>
    </row>
    <row r="9">
      <c r="A9" s="97">
        <f t="shared" si="1"/>
        <v>3</v>
      </c>
      <c r="B9" s="15" t="s">
        <v>12</v>
      </c>
      <c r="C9" s="16">
        <v>27.0</v>
      </c>
    </row>
    <row r="10">
      <c r="A10" s="97">
        <f t="shared" si="1"/>
        <v>4</v>
      </c>
      <c r="B10" s="15" t="s">
        <v>17</v>
      </c>
      <c r="C10" s="16">
        <v>26.0</v>
      </c>
    </row>
    <row r="11">
      <c r="A11" s="97">
        <f t="shared" si="1"/>
        <v>4</v>
      </c>
      <c r="B11" s="15" t="s">
        <v>18</v>
      </c>
      <c r="C11" s="16">
        <v>26.0</v>
      </c>
    </row>
    <row r="12">
      <c r="A12" s="97">
        <f t="shared" si="1"/>
        <v>4</v>
      </c>
      <c r="B12" s="15" t="s">
        <v>28</v>
      </c>
      <c r="C12" s="16">
        <v>26.0</v>
      </c>
    </row>
    <row r="13">
      <c r="A13" s="97">
        <f t="shared" si="1"/>
        <v>4</v>
      </c>
      <c r="B13" s="44" t="s">
        <v>34</v>
      </c>
      <c r="C13" s="16">
        <v>26.0</v>
      </c>
    </row>
    <row r="14">
      <c r="A14" s="97">
        <f t="shared" si="1"/>
        <v>4</v>
      </c>
      <c r="B14" s="15" t="s">
        <v>35</v>
      </c>
      <c r="C14" s="16">
        <v>26.0</v>
      </c>
    </row>
    <row r="15">
      <c r="A15" s="97">
        <f t="shared" si="1"/>
        <v>5</v>
      </c>
      <c r="B15" s="15" t="s">
        <v>41</v>
      </c>
      <c r="C15" s="16">
        <v>25.0</v>
      </c>
    </row>
    <row r="16">
      <c r="A16" s="97">
        <f t="shared" si="1"/>
        <v>6</v>
      </c>
      <c r="B16" s="15" t="s">
        <v>10</v>
      </c>
      <c r="C16" s="16">
        <v>24.0</v>
      </c>
    </row>
    <row r="17">
      <c r="A17" s="97">
        <f t="shared" si="1"/>
        <v>7</v>
      </c>
      <c r="B17" s="15" t="s">
        <v>4</v>
      </c>
      <c r="C17" s="16">
        <v>23.0</v>
      </c>
    </row>
    <row r="18">
      <c r="A18" s="97">
        <f t="shared" si="1"/>
        <v>7</v>
      </c>
      <c r="B18" s="15" t="s">
        <v>16</v>
      </c>
      <c r="C18" s="16">
        <v>23.0</v>
      </c>
    </row>
    <row r="19">
      <c r="A19" s="97">
        <f t="shared" si="1"/>
        <v>7</v>
      </c>
      <c r="B19" s="15" t="s">
        <v>30</v>
      </c>
      <c r="C19" s="16">
        <v>23.0</v>
      </c>
    </row>
    <row r="20">
      <c r="A20" s="97">
        <f t="shared" si="1"/>
        <v>7</v>
      </c>
      <c r="B20" s="15" t="s">
        <v>32</v>
      </c>
      <c r="C20" s="16">
        <v>23.0</v>
      </c>
    </row>
    <row r="21">
      <c r="A21" s="97">
        <f t="shared" si="1"/>
        <v>8</v>
      </c>
      <c r="B21" s="15" t="s">
        <v>13</v>
      </c>
      <c r="C21" s="16">
        <v>22.0</v>
      </c>
    </row>
    <row r="22">
      <c r="A22" s="97">
        <f t="shared" si="1"/>
        <v>8</v>
      </c>
      <c r="B22" s="15" t="s">
        <v>14</v>
      </c>
      <c r="C22" s="16">
        <v>22.0</v>
      </c>
    </row>
    <row r="23">
      <c r="A23" s="97">
        <f t="shared" si="1"/>
        <v>8</v>
      </c>
      <c r="B23" s="15" t="s">
        <v>29</v>
      </c>
      <c r="C23" s="16">
        <v>22.0</v>
      </c>
    </row>
    <row r="24">
      <c r="A24" s="97">
        <f t="shared" si="1"/>
        <v>8</v>
      </c>
      <c r="B24" s="15" t="s">
        <v>36</v>
      </c>
      <c r="C24" s="16">
        <v>22.0</v>
      </c>
    </row>
    <row r="25">
      <c r="A25" s="97">
        <f t="shared" si="1"/>
        <v>8</v>
      </c>
      <c r="B25" s="15" t="s">
        <v>38</v>
      </c>
      <c r="C25" s="16">
        <v>22.0</v>
      </c>
    </row>
    <row r="26">
      <c r="A26" s="97">
        <f t="shared" si="1"/>
        <v>9</v>
      </c>
      <c r="B26" s="15" t="s">
        <v>24</v>
      </c>
      <c r="C26" s="16">
        <v>21.0</v>
      </c>
    </row>
    <row r="27">
      <c r="A27" s="97">
        <f t="shared" si="1"/>
        <v>9</v>
      </c>
      <c r="B27" s="15" t="s">
        <v>31</v>
      </c>
      <c r="C27" s="16">
        <v>21.0</v>
      </c>
    </row>
    <row r="28">
      <c r="A28" s="97">
        <f t="shared" si="1"/>
        <v>10</v>
      </c>
      <c r="B28" s="15" t="s">
        <v>37</v>
      </c>
      <c r="C28" s="16">
        <v>19.0</v>
      </c>
    </row>
    <row r="29">
      <c r="A29" s="97">
        <f t="shared" si="1"/>
        <v>10</v>
      </c>
      <c r="B29" s="15" t="s">
        <v>42</v>
      </c>
      <c r="C29" s="16">
        <v>19.0</v>
      </c>
    </row>
    <row r="30">
      <c r="A30" s="97">
        <f t="shared" si="1"/>
        <v>11</v>
      </c>
      <c r="B30" s="44" t="s">
        <v>23</v>
      </c>
      <c r="C30" s="16">
        <v>17.0</v>
      </c>
    </row>
    <row r="31">
      <c r="A31" s="97">
        <f t="shared" si="1"/>
        <v>12</v>
      </c>
      <c r="B31" s="44" t="s">
        <v>40</v>
      </c>
      <c r="C31" s="16">
        <v>16.0</v>
      </c>
    </row>
    <row r="32">
      <c r="A32" s="97">
        <f t="shared" si="1"/>
        <v>13</v>
      </c>
      <c r="B32" s="15" t="s">
        <v>19</v>
      </c>
      <c r="C32" s="16">
        <v>11.0</v>
      </c>
    </row>
    <row r="33">
      <c r="A33" s="97">
        <f t="shared" si="1"/>
        <v>14</v>
      </c>
      <c r="B33" s="15" t="s">
        <v>39</v>
      </c>
      <c r="C33" s="16">
        <v>8.0</v>
      </c>
    </row>
    <row r="34">
      <c r="A34" s="97"/>
      <c r="B34" s="95"/>
      <c r="C34" s="98"/>
    </row>
    <row r="35">
      <c r="A35" s="97"/>
      <c r="B35" s="99"/>
      <c r="C35" s="98"/>
    </row>
    <row r="36">
      <c r="A36" s="97"/>
      <c r="B36" s="99"/>
      <c r="C36" s="98"/>
    </row>
    <row r="37">
      <c r="A37" s="97"/>
      <c r="B37" s="99"/>
      <c r="C37" s="98"/>
    </row>
    <row r="38">
      <c r="A38" s="97"/>
      <c r="B38" s="95"/>
      <c r="C38" s="98"/>
    </row>
    <row r="39">
      <c r="A39" s="97"/>
      <c r="B39" s="99"/>
      <c r="C39" s="98"/>
    </row>
    <row r="40">
      <c r="A40" s="97"/>
      <c r="B40" s="99"/>
      <c r="C40" s="98"/>
    </row>
    <row r="41">
      <c r="A41" s="97"/>
      <c r="B41" s="99"/>
      <c r="C41" s="98"/>
    </row>
    <row r="42">
      <c r="A42" s="97"/>
      <c r="B42" s="95"/>
      <c r="C42" s="98"/>
    </row>
    <row r="43">
      <c r="A43" s="97"/>
      <c r="B43" s="95"/>
      <c r="C43" s="98"/>
    </row>
    <row r="44">
      <c r="A44" s="97"/>
      <c r="B44" s="99"/>
      <c r="C44" s="98"/>
    </row>
    <row r="45">
      <c r="A45" s="97"/>
      <c r="B45" s="95"/>
      <c r="C45" s="98"/>
    </row>
    <row r="46">
      <c r="A46" s="97"/>
      <c r="B46" s="95"/>
      <c r="C46" s="98"/>
    </row>
    <row r="47">
      <c r="A47" s="97"/>
      <c r="B47" s="99"/>
      <c r="C47" s="98"/>
    </row>
    <row r="48">
      <c r="A48" s="97"/>
      <c r="B48" s="95"/>
      <c r="C48" s="98"/>
    </row>
    <row r="49">
      <c r="A49" s="97"/>
      <c r="B49" s="99"/>
      <c r="C49" s="98"/>
    </row>
    <row r="50">
      <c r="A50" s="97"/>
      <c r="B50" s="95"/>
      <c r="C50" s="98"/>
    </row>
    <row r="51">
      <c r="A51" s="97"/>
      <c r="B51" s="99"/>
      <c r="C51" s="98"/>
    </row>
    <row r="52">
      <c r="A52" s="97"/>
      <c r="B52" s="95"/>
      <c r="C52" s="98"/>
    </row>
    <row r="53">
      <c r="A53" s="97"/>
      <c r="B53" s="95"/>
      <c r="C53" s="98"/>
    </row>
    <row r="54">
      <c r="A54" s="97"/>
      <c r="B54" s="95"/>
      <c r="C54" s="98"/>
    </row>
    <row r="55">
      <c r="A55" s="97"/>
      <c r="B55" s="95"/>
      <c r="C55" s="98"/>
    </row>
    <row r="56">
      <c r="A56" s="97"/>
      <c r="B56" s="95"/>
      <c r="C56" s="98"/>
    </row>
    <row r="57">
      <c r="A57" s="97"/>
      <c r="B57" s="95"/>
      <c r="C57" s="98"/>
    </row>
    <row r="58">
      <c r="A58" s="97"/>
      <c r="B58" s="99"/>
      <c r="C58" s="98"/>
    </row>
    <row r="59">
      <c r="A59" s="97"/>
      <c r="B59" s="95"/>
      <c r="C59" s="98"/>
    </row>
    <row r="60">
      <c r="A60" s="97"/>
      <c r="B60" s="95"/>
      <c r="C60" s="98"/>
    </row>
    <row r="61">
      <c r="A61" s="97"/>
      <c r="B61" s="95"/>
      <c r="C61" s="98"/>
    </row>
    <row r="62">
      <c r="A62" s="97"/>
      <c r="B62" s="99"/>
      <c r="C62" s="98"/>
    </row>
    <row r="63">
      <c r="A63" s="97"/>
      <c r="B63" s="99"/>
      <c r="C63" s="98"/>
    </row>
    <row r="64">
      <c r="A64" s="97"/>
      <c r="B64" s="95"/>
      <c r="C64" s="98"/>
    </row>
    <row r="65">
      <c r="A65" s="97"/>
      <c r="B65" s="95"/>
      <c r="C65" s="98"/>
    </row>
    <row r="66">
      <c r="A66" s="97"/>
      <c r="B66" s="95"/>
      <c r="C66" s="98"/>
    </row>
    <row r="67">
      <c r="A67" s="97"/>
      <c r="B67" s="95"/>
      <c r="C67" s="98"/>
    </row>
    <row r="68">
      <c r="A68" s="97"/>
      <c r="B68" s="99"/>
      <c r="C68" s="98"/>
    </row>
    <row r="69">
      <c r="A69" s="97"/>
      <c r="B69" s="95"/>
      <c r="C69" s="98"/>
    </row>
    <row r="70">
      <c r="A70" s="97"/>
      <c r="B70" s="95"/>
      <c r="C70" s="98"/>
    </row>
    <row r="71">
      <c r="A71" s="97"/>
      <c r="B71" s="95"/>
      <c r="C71" s="98"/>
    </row>
    <row r="72">
      <c r="A72" s="97"/>
      <c r="B72" s="95"/>
      <c r="C72" s="98"/>
    </row>
    <row r="73">
      <c r="A73" s="97"/>
      <c r="B73" s="95"/>
      <c r="C73" s="98"/>
    </row>
    <row r="74">
      <c r="A74" s="97"/>
      <c r="B74" s="95"/>
      <c r="C74" s="98"/>
    </row>
    <row r="75">
      <c r="A75" s="97"/>
      <c r="B75" s="95"/>
      <c r="C75" s="98"/>
    </row>
    <row r="76">
      <c r="A76" s="97"/>
      <c r="B76" s="95"/>
      <c r="C76" s="98"/>
    </row>
    <row r="77">
      <c r="A77" s="97"/>
      <c r="B77" s="95"/>
      <c r="C77" s="98"/>
    </row>
    <row r="78">
      <c r="A78" s="97"/>
      <c r="B78" s="95"/>
      <c r="C78" s="98"/>
    </row>
    <row r="79">
      <c r="A79" s="97"/>
      <c r="B79" s="95"/>
      <c r="C79" s="98"/>
    </row>
    <row r="80">
      <c r="A80" s="97"/>
      <c r="B80" s="95"/>
      <c r="C80" s="98"/>
    </row>
    <row r="81">
      <c r="A81" s="97"/>
      <c r="B81" s="95"/>
      <c r="C81" s="98"/>
    </row>
    <row r="82">
      <c r="A82" s="97"/>
      <c r="B82" s="95"/>
      <c r="C82" s="98"/>
    </row>
    <row r="83">
      <c r="A83" s="97"/>
      <c r="B83" s="95"/>
      <c r="C83" s="98"/>
    </row>
    <row r="84">
      <c r="A84" s="97"/>
      <c r="B84" s="95"/>
      <c r="C84" s="98"/>
    </row>
    <row r="85">
      <c r="A85" s="97"/>
      <c r="B85" s="95"/>
      <c r="C85" s="98"/>
    </row>
    <row r="86">
      <c r="A86" s="97"/>
      <c r="B86" s="95"/>
      <c r="C86" s="98"/>
    </row>
    <row r="87">
      <c r="A87" s="97"/>
      <c r="B87" s="95"/>
      <c r="C87" s="98"/>
    </row>
    <row r="88">
      <c r="A88" s="97"/>
      <c r="B88" s="95"/>
      <c r="C88" s="98"/>
    </row>
    <row r="89">
      <c r="A89" s="97"/>
      <c r="B89" s="95"/>
      <c r="C89" s="98"/>
    </row>
    <row r="90">
      <c r="A90" s="97"/>
      <c r="B90" s="95"/>
      <c r="C90" s="98"/>
    </row>
    <row r="91">
      <c r="A91" s="97"/>
      <c r="B91" s="95"/>
      <c r="C91" s="98"/>
    </row>
    <row r="92">
      <c r="A92" s="97"/>
      <c r="B92" s="95"/>
      <c r="C92" s="98"/>
    </row>
    <row r="93">
      <c r="A93" s="97"/>
      <c r="B93" s="95"/>
      <c r="C93" s="98"/>
    </row>
    <row r="94">
      <c r="A94" s="97"/>
      <c r="B94" s="99"/>
      <c r="C94" s="98"/>
    </row>
    <row r="95">
      <c r="A95" s="97"/>
      <c r="B95" s="95"/>
      <c r="C95" s="98"/>
    </row>
    <row r="96">
      <c r="A96" s="97"/>
      <c r="B96" s="95"/>
      <c r="C96" s="98"/>
    </row>
    <row r="97">
      <c r="A97" s="97"/>
      <c r="B97" s="99"/>
      <c r="C97" s="98"/>
    </row>
    <row r="98">
      <c r="A98" s="97"/>
      <c r="B98" s="95"/>
      <c r="C98" s="98"/>
    </row>
    <row r="99">
      <c r="A99" s="97"/>
      <c r="B99" s="100"/>
      <c r="C99" s="96"/>
    </row>
    <row r="100">
      <c r="A100" s="97"/>
      <c r="B100" s="100"/>
      <c r="C100" s="96"/>
    </row>
    <row r="101">
      <c r="A101" s="97"/>
      <c r="B101" s="100"/>
      <c r="C101" s="96"/>
    </row>
    <row r="102">
      <c r="A102" s="97"/>
      <c r="B102" s="100"/>
      <c r="C102" s="96"/>
    </row>
    <row r="103">
      <c r="A103" s="97"/>
      <c r="B103" s="100"/>
      <c r="C103" s="96"/>
    </row>
    <row r="104">
      <c r="A104" s="97"/>
      <c r="B104" s="100"/>
      <c r="C104" s="101"/>
    </row>
    <row r="105">
      <c r="A105" s="97"/>
      <c r="B105" s="100"/>
      <c r="C105" s="96"/>
    </row>
    <row r="106">
      <c r="A106" s="97"/>
      <c r="B106" s="100"/>
      <c r="C106" s="96"/>
    </row>
    <row r="107">
      <c r="A107" s="97"/>
      <c r="B107" s="102"/>
      <c r="C107" s="103"/>
    </row>
    <row r="108">
      <c r="A108" s="97"/>
      <c r="B108" s="102"/>
      <c r="C108" s="103"/>
    </row>
    <row r="109">
      <c r="A109" s="97"/>
      <c r="B109" s="102"/>
      <c r="C109" s="103"/>
    </row>
    <row r="110">
      <c r="A110" s="104"/>
      <c r="B110" s="11"/>
      <c r="C110" s="103"/>
    </row>
    <row r="111">
      <c r="A111" s="104"/>
      <c r="B111" s="11"/>
      <c r="C111" s="103"/>
    </row>
    <row r="112">
      <c r="A112" s="104"/>
      <c r="B112" s="11"/>
      <c r="C112" s="103"/>
    </row>
    <row r="113">
      <c r="A113" s="104"/>
      <c r="B113" s="11"/>
      <c r="C113" s="103"/>
    </row>
    <row r="114">
      <c r="A114" s="104"/>
      <c r="B114" s="11"/>
      <c r="C114" s="103"/>
    </row>
    <row r="115">
      <c r="A115" s="104"/>
      <c r="B115" s="11"/>
      <c r="C115" s="103"/>
    </row>
    <row r="116">
      <c r="A116" s="104"/>
      <c r="B116" s="11"/>
      <c r="C116" s="103"/>
    </row>
    <row r="117">
      <c r="A117" s="104"/>
      <c r="B117" s="11"/>
      <c r="C117" s="103"/>
    </row>
    <row r="118">
      <c r="A118" s="104"/>
      <c r="B118" s="11"/>
      <c r="C118" s="103"/>
    </row>
    <row r="119">
      <c r="A119" s="104"/>
      <c r="B119" s="11"/>
      <c r="C119" s="103"/>
    </row>
    <row r="120">
      <c r="A120" s="104"/>
      <c r="B120" s="11"/>
      <c r="C120" s="103"/>
    </row>
    <row r="121">
      <c r="A121" s="104"/>
      <c r="B121" s="11"/>
      <c r="C121" s="103"/>
    </row>
    <row r="122">
      <c r="A122" s="104"/>
      <c r="B122" s="11"/>
      <c r="C122" s="103"/>
    </row>
    <row r="123">
      <c r="A123" s="104"/>
      <c r="B123" s="11"/>
      <c r="C123" s="103"/>
    </row>
    <row r="124">
      <c r="A124" s="104"/>
      <c r="B124" s="11"/>
      <c r="C124" s="103"/>
    </row>
    <row r="125">
      <c r="A125" s="104"/>
      <c r="B125" s="11"/>
      <c r="C125" s="103"/>
    </row>
    <row r="126">
      <c r="A126" s="104"/>
      <c r="B126" s="11"/>
      <c r="C126" s="103"/>
    </row>
    <row r="127">
      <c r="A127" s="104"/>
      <c r="B127" s="11"/>
      <c r="C127" s="103"/>
    </row>
    <row r="128">
      <c r="A128" s="104"/>
      <c r="B128" s="11"/>
      <c r="C128" s="103"/>
    </row>
    <row r="129">
      <c r="A129" s="104"/>
      <c r="B129" s="11"/>
      <c r="C129" s="103"/>
    </row>
    <row r="130">
      <c r="A130" s="104"/>
      <c r="B130" s="11"/>
      <c r="C130" s="103"/>
    </row>
    <row r="131">
      <c r="A131" s="104"/>
      <c r="B131" s="11"/>
      <c r="C131" s="103"/>
    </row>
    <row r="132">
      <c r="A132" s="104"/>
      <c r="B132" s="11"/>
      <c r="C132" s="103"/>
    </row>
    <row r="133">
      <c r="A133" s="104"/>
      <c r="B133" s="11"/>
      <c r="C133" s="103"/>
    </row>
    <row r="134">
      <c r="A134" s="104"/>
      <c r="B134" s="11"/>
      <c r="C134" s="103"/>
    </row>
    <row r="135">
      <c r="A135" s="104"/>
      <c r="B135" s="11"/>
      <c r="C135" s="103"/>
    </row>
    <row r="136">
      <c r="A136" s="104"/>
      <c r="B136" s="11"/>
      <c r="C136" s="103"/>
    </row>
    <row r="137">
      <c r="A137" s="104"/>
      <c r="B137" s="11"/>
      <c r="C137" s="103"/>
    </row>
    <row r="138">
      <c r="A138" s="104"/>
      <c r="B138" s="11"/>
      <c r="C138" s="103"/>
    </row>
    <row r="139">
      <c r="A139" s="104"/>
      <c r="B139" s="11"/>
      <c r="C139" s="103"/>
    </row>
    <row r="140">
      <c r="A140" s="104"/>
      <c r="B140" s="11"/>
      <c r="C140" s="103"/>
    </row>
    <row r="141">
      <c r="A141" s="104"/>
      <c r="B141" s="11"/>
      <c r="C141" s="103"/>
    </row>
    <row r="142">
      <c r="A142" s="104"/>
      <c r="B142" s="11"/>
      <c r="C142" s="103"/>
    </row>
    <row r="143">
      <c r="A143" s="104"/>
      <c r="B143" s="11"/>
      <c r="C143" s="103"/>
    </row>
    <row r="144">
      <c r="A144" s="104"/>
      <c r="B144" s="11"/>
      <c r="C144" s="103"/>
    </row>
    <row r="145">
      <c r="A145" s="104"/>
      <c r="B145" s="11"/>
      <c r="C145" s="103"/>
    </row>
    <row r="146">
      <c r="A146" s="104"/>
      <c r="B146" s="11"/>
      <c r="C146" s="103"/>
    </row>
    <row r="147">
      <c r="A147" s="104"/>
      <c r="B147" s="11"/>
      <c r="C147" s="103"/>
    </row>
    <row r="148">
      <c r="A148" s="104"/>
      <c r="B148" s="11"/>
      <c r="C148" s="103"/>
    </row>
    <row r="149">
      <c r="A149" s="104"/>
      <c r="B149" s="11"/>
      <c r="C149" s="103"/>
    </row>
    <row r="150">
      <c r="A150" s="104"/>
      <c r="B150" s="11"/>
      <c r="C150" s="103"/>
    </row>
    <row r="151">
      <c r="A151" s="104"/>
      <c r="B151" s="11"/>
      <c r="C151" s="103"/>
    </row>
    <row r="152">
      <c r="A152" s="104"/>
      <c r="B152" s="11"/>
      <c r="C152" s="103"/>
    </row>
    <row r="153">
      <c r="A153" s="104"/>
      <c r="B153" s="11"/>
      <c r="C153" s="103"/>
    </row>
    <row r="154">
      <c r="A154" s="104"/>
      <c r="B154" s="11"/>
      <c r="C154" s="103"/>
    </row>
    <row r="155">
      <c r="A155" s="104"/>
      <c r="B155" s="11"/>
      <c r="C155" s="103"/>
    </row>
    <row r="156">
      <c r="A156" s="104"/>
      <c r="B156" s="11"/>
      <c r="C156" s="103"/>
    </row>
    <row r="157">
      <c r="A157" s="104"/>
      <c r="B157" s="11"/>
      <c r="C157" s="103"/>
    </row>
    <row r="158">
      <c r="A158" s="104"/>
      <c r="B158" s="11"/>
      <c r="C158" s="103"/>
    </row>
    <row r="159">
      <c r="A159" s="104"/>
      <c r="B159" s="11"/>
      <c r="C159" s="103"/>
    </row>
    <row r="160">
      <c r="A160" s="104"/>
      <c r="B160" s="11"/>
      <c r="C160" s="103"/>
    </row>
    <row r="161">
      <c r="A161" s="104"/>
      <c r="B161" s="11"/>
      <c r="C161" s="103"/>
    </row>
    <row r="162">
      <c r="A162" s="104"/>
      <c r="B162" s="11"/>
      <c r="C162" s="103"/>
    </row>
    <row r="163">
      <c r="A163" s="104"/>
      <c r="B163" s="11"/>
      <c r="C163" s="103"/>
    </row>
    <row r="164">
      <c r="A164" s="104"/>
      <c r="B164" s="11"/>
      <c r="C164" s="103"/>
    </row>
    <row r="165">
      <c r="A165" s="104"/>
      <c r="B165" s="11"/>
      <c r="C165" s="103"/>
    </row>
    <row r="166">
      <c r="A166" s="104"/>
      <c r="B166" s="11"/>
      <c r="C166" s="103"/>
    </row>
    <row r="167">
      <c r="A167" s="104"/>
      <c r="B167" s="11"/>
      <c r="C167" s="103"/>
    </row>
    <row r="168">
      <c r="A168" s="104"/>
      <c r="B168" s="11"/>
      <c r="C168" s="103"/>
    </row>
    <row r="169">
      <c r="A169" s="104"/>
      <c r="B169" s="11"/>
      <c r="C169" s="103"/>
    </row>
    <row r="170">
      <c r="A170" s="104"/>
      <c r="B170" s="11"/>
      <c r="C170" s="103"/>
    </row>
    <row r="171">
      <c r="A171" s="104"/>
      <c r="B171" s="11"/>
      <c r="C171" s="103"/>
    </row>
    <row r="172">
      <c r="A172" s="104"/>
      <c r="B172" s="11"/>
      <c r="C172" s="103"/>
    </row>
    <row r="173">
      <c r="A173" s="104"/>
      <c r="B173" s="11"/>
      <c r="C173" s="103"/>
    </row>
    <row r="174">
      <c r="A174" s="104"/>
      <c r="B174" s="11"/>
      <c r="C174" s="103"/>
    </row>
    <row r="175">
      <c r="A175" s="104"/>
      <c r="B175" s="11"/>
      <c r="C175" s="103"/>
    </row>
    <row r="176">
      <c r="A176" s="104"/>
      <c r="B176" s="11"/>
      <c r="C176" s="103"/>
    </row>
    <row r="177">
      <c r="A177" s="104"/>
      <c r="B177" s="11"/>
      <c r="C177" s="103"/>
    </row>
    <row r="178">
      <c r="A178" s="104"/>
      <c r="B178" s="11"/>
      <c r="C178" s="103"/>
    </row>
    <row r="179">
      <c r="A179" s="104"/>
      <c r="B179" s="11"/>
      <c r="C179" s="103"/>
    </row>
    <row r="180">
      <c r="A180" s="104"/>
      <c r="B180" s="11"/>
      <c r="C180" s="103"/>
    </row>
    <row r="181">
      <c r="A181" s="104"/>
      <c r="B181" s="11"/>
      <c r="C181" s="103"/>
    </row>
    <row r="182">
      <c r="A182" s="104"/>
      <c r="B182" s="11"/>
      <c r="C182" s="103"/>
    </row>
    <row r="183">
      <c r="A183" s="104"/>
      <c r="B183" s="11"/>
      <c r="C183" s="103"/>
    </row>
    <row r="184">
      <c r="A184" s="104"/>
      <c r="B184" s="11"/>
      <c r="C184" s="103"/>
    </row>
    <row r="185">
      <c r="A185" s="104"/>
      <c r="B185" s="11"/>
      <c r="C185" s="103"/>
    </row>
    <row r="186">
      <c r="A186" s="104"/>
      <c r="B186" s="11"/>
      <c r="C186" s="103"/>
    </row>
    <row r="187">
      <c r="A187" s="104"/>
      <c r="B187" s="11"/>
      <c r="C187" s="103"/>
    </row>
    <row r="188">
      <c r="A188" s="104"/>
      <c r="B188" s="11"/>
      <c r="C188" s="103"/>
    </row>
    <row r="189">
      <c r="A189" s="104"/>
      <c r="B189" s="11"/>
      <c r="C189" s="103"/>
    </row>
    <row r="190">
      <c r="A190" s="104"/>
      <c r="B190" s="11"/>
      <c r="C190" s="103"/>
    </row>
    <row r="191">
      <c r="A191" s="104"/>
      <c r="B191" s="11"/>
      <c r="C191" s="103"/>
    </row>
    <row r="192">
      <c r="A192" s="104"/>
      <c r="B192" s="11"/>
      <c r="C192" s="103"/>
    </row>
    <row r="193">
      <c r="A193" s="104"/>
      <c r="B193" s="11"/>
      <c r="C193" s="103"/>
    </row>
    <row r="194">
      <c r="A194" s="104"/>
      <c r="B194" s="11"/>
      <c r="C194" s="103"/>
    </row>
    <row r="195">
      <c r="A195" s="104"/>
      <c r="B195" s="11"/>
      <c r="C195" s="103"/>
    </row>
    <row r="196">
      <c r="A196" s="104"/>
      <c r="B196" s="11"/>
      <c r="C196" s="103"/>
    </row>
    <row r="197">
      <c r="A197" s="104"/>
      <c r="B197" s="11"/>
      <c r="C197" s="103"/>
    </row>
    <row r="198">
      <c r="A198" s="104"/>
      <c r="B198" s="11"/>
      <c r="C198" s="103"/>
    </row>
    <row r="199">
      <c r="A199" s="104"/>
      <c r="B199" s="11"/>
      <c r="C199" s="103"/>
    </row>
    <row r="200">
      <c r="A200" s="104"/>
      <c r="B200" s="11"/>
      <c r="C200" s="103"/>
    </row>
    <row r="201">
      <c r="A201" s="104"/>
      <c r="B201" s="11"/>
      <c r="C201" s="103"/>
    </row>
    <row r="202">
      <c r="A202" s="104"/>
      <c r="B202" s="11"/>
      <c r="C202" s="103"/>
    </row>
    <row r="203">
      <c r="A203" s="104"/>
      <c r="B203" s="11"/>
      <c r="C203" s="103"/>
    </row>
    <row r="204">
      <c r="A204" s="104"/>
      <c r="B204" s="11"/>
      <c r="C204" s="103"/>
    </row>
    <row r="205">
      <c r="A205" s="104"/>
      <c r="B205" s="11"/>
      <c r="C205" s="103"/>
    </row>
    <row r="206">
      <c r="A206" s="104"/>
      <c r="B206" s="11"/>
      <c r="C206" s="103"/>
    </row>
    <row r="207">
      <c r="A207" s="104"/>
      <c r="B207" s="11"/>
      <c r="C207" s="103"/>
    </row>
    <row r="208">
      <c r="A208" s="104"/>
      <c r="B208" s="11"/>
      <c r="C208" s="103"/>
    </row>
    <row r="209">
      <c r="A209" s="104"/>
      <c r="B209" s="11"/>
      <c r="C209" s="103"/>
    </row>
    <row r="210">
      <c r="A210" s="104"/>
      <c r="B210" s="11"/>
      <c r="C210" s="103"/>
    </row>
    <row r="211">
      <c r="A211" s="104"/>
      <c r="B211" s="11"/>
      <c r="C211" s="103"/>
    </row>
    <row r="212">
      <c r="A212" s="104"/>
      <c r="B212" s="11"/>
      <c r="C212" s="103"/>
    </row>
    <row r="213">
      <c r="A213" s="104"/>
      <c r="B213" s="11"/>
      <c r="C213" s="103"/>
    </row>
    <row r="214">
      <c r="A214" s="104"/>
      <c r="B214" s="11"/>
      <c r="C214" s="103"/>
    </row>
    <row r="215">
      <c r="A215" s="104"/>
      <c r="B215" s="11"/>
      <c r="C215" s="103"/>
    </row>
    <row r="216">
      <c r="A216" s="104"/>
      <c r="B216" s="11"/>
      <c r="C216" s="103"/>
    </row>
    <row r="217">
      <c r="A217" s="104"/>
      <c r="B217" s="11"/>
      <c r="C217" s="103"/>
    </row>
    <row r="218">
      <c r="A218" s="104"/>
      <c r="B218" s="11"/>
      <c r="C218" s="103"/>
    </row>
    <row r="219">
      <c r="A219" s="104"/>
      <c r="B219" s="11"/>
      <c r="C219" s="103"/>
    </row>
    <row r="220">
      <c r="A220" s="104"/>
      <c r="B220" s="11"/>
      <c r="C220" s="103"/>
    </row>
    <row r="221">
      <c r="A221" s="104"/>
      <c r="B221" s="11"/>
      <c r="C221" s="103"/>
    </row>
    <row r="222">
      <c r="A222" s="104"/>
      <c r="B222" s="11"/>
      <c r="C222" s="103"/>
    </row>
    <row r="223">
      <c r="A223" s="104"/>
      <c r="B223" s="11"/>
      <c r="C223" s="103"/>
    </row>
    <row r="224">
      <c r="A224" s="104"/>
      <c r="B224" s="11"/>
      <c r="C224" s="103"/>
    </row>
    <row r="225">
      <c r="A225" s="104"/>
      <c r="B225" s="11"/>
      <c r="C225" s="103"/>
    </row>
    <row r="226">
      <c r="A226" s="104"/>
      <c r="B226" s="11"/>
      <c r="C226" s="103"/>
    </row>
    <row r="227">
      <c r="A227" s="104"/>
      <c r="B227" s="11"/>
      <c r="C227" s="103"/>
    </row>
    <row r="228">
      <c r="A228" s="104"/>
      <c r="B228" s="11"/>
      <c r="C228" s="103"/>
    </row>
    <row r="229">
      <c r="A229" s="104"/>
      <c r="B229" s="11"/>
      <c r="C229" s="103"/>
    </row>
    <row r="230">
      <c r="A230" s="104"/>
      <c r="B230" s="11"/>
      <c r="C230" s="103"/>
    </row>
    <row r="231">
      <c r="A231" s="104"/>
      <c r="B231" s="11"/>
      <c r="C231" s="103"/>
    </row>
    <row r="232">
      <c r="A232" s="104"/>
      <c r="B232" s="11"/>
      <c r="C232" s="103"/>
    </row>
    <row r="233">
      <c r="A233" s="104"/>
      <c r="B233" s="11"/>
      <c r="C233" s="103"/>
    </row>
    <row r="234">
      <c r="A234" s="104"/>
      <c r="B234" s="11"/>
      <c r="C234" s="103"/>
    </row>
    <row r="235">
      <c r="A235" s="104"/>
      <c r="B235" s="11"/>
      <c r="C235" s="103"/>
    </row>
    <row r="236">
      <c r="A236" s="104"/>
      <c r="B236" s="11"/>
      <c r="C236" s="103"/>
    </row>
    <row r="237">
      <c r="A237" s="104"/>
      <c r="B237" s="11"/>
      <c r="C237" s="103"/>
    </row>
    <row r="238">
      <c r="A238" s="104"/>
      <c r="B238" s="11"/>
      <c r="C238" s="103"/>
    </row>
    <row r="239">
      <c r="A239" s="104"/>
      <c r="B239" s="11"/>
      <c r="C239" s="103"/>
    </row>
    <row r="240">
      <c r="A240" s="104"/>
      <c r="B240" s="11"/>
      <c r="C240" s="103"/>
    </row>
    <row r="241">
      <c r="A241" s="104"/>
      <c r="B241" s="11"/>
      <c r="C241" s="103"/>
    </row>
    <row r="242">
      <c r="A242" s="104"/>
      <c r="B242" s="11"/>
      <c r="C242" s="103"/>
    </row>
    <row r="243">
      <c r="A243" s="104"/>
      <c r="B243" s="11"/>
      <c r="C243" s="103"/>
    </row>
    <row r="244">
      <c r="A244" s="104"/>
      <c r="B244" s="11"/>
      <c r="C244" s="103"/>
    </row>
    <row r="245">
      <c r="A245" s="104"/>
      <c r="B245" s="11"/>
      <c r="C245" s="103"/>
    </row>
    <row r="246">
      <c r="A246" s="104"/>
      <c r="B246" s="11"/>
      <c r="C246" s="103"/>
    </row>
    <row r="247">
      <c r="A247" s="104"/>
      <c r="B247" s="11"/>
      <c r="C247" s="103"/>
    </row>
    <row r="248">
      <c r="A248" s="104"/>
      <c r="B248" s="11"/>
      <c r="C248" s="103"/>
    </row>
    <row r="249">
      <c r="A249" s="104"/>
      <c r="B249" s="11"/>
      <c r="C249" s="103"/>
    </row>
    <row r="250">
      <c r="A250" s="104"/>
      <c r="B250" s="11"/>
      <c r="C250" s="103"/>
    </row>
    <row r="251">
      <c r="A251" s="104"/>
      <c r="B251" s="11"/>
      <c r="C251" s="103"/>
    </row>
    <row r="252">
      <c r="A252" s="104"/>
      <c r="B252" s="11"/>
      <c r="C252" s="103"/>
    </row>
    <row r="253">
      <c r="A253" s="104"/>
      <c r="B253" s="11"/>
      <c r="C253" s="103"/>
    </row>
    <row r="254">
      <c r="A254" s="104"/>
      <c r="B254" s="11"/>
      <c r="C254" s="103"/>
    </row>
    <row r="255">
      <c r="A255" s="104"/>
      <c r="B255" s="11"/>
      <c r="C255" s="103"/>
    </row>
    <row r="256">
      <c r="A256" s="104"/>
      <c r="B256" s="11"/>
      <c r="C256" s="103"/>
    </row>
    <row r="257">
      <c r="A257" s="104"/>
      <c r="B257" s="11"/>
      <c r="C257" s="103"/>
    </row>
    <row r="258">
      <c r="A258" s="104"/>
      <c r="B258" s="11"/>
      <c r="C258" s="103"/>
    </row>
    <row r="259">
      <c r="A259" s="104"/>
      <c r="B259" s="11"/>
      <c r="C259" s="103"/>
    </row>
    <row r="260">
      <c r="A260" s="104"/>
      <c r="B260" s="11"/>
      <c r="C260" s="103"/>
    </row>
    <row r="261">
      <c r="A261" s="104"/>
      <c r="B261" s="11"/>
      <c r="C261" s="103"/>
    </row>
    <row r="262">
      <c r="A262" s="104"/>
      <c r="B262" s="11"/>
      <c r="C262" s="103"/>
    </row>
    <row r="263">
      <c r="A263" s="104"/>
      <c r="B263" s="11"/>
      <c r="C263" s="103"/>
    </row>
    <row r="264">
      <c r="A264" s="104"/>
      <c r="B264" s="11"/>
      <c r="C264" s="103"/>
    </row>
    <row r="265">
      <c r="A265" s="104"/>
      <c r="B265" s="11"/>
      <c r="C265" s="103"/>
    </row>
    <row r="266">
      <c r="A266" s="104"/>
      <c r="B266" s="11"/>
      <c r="C266" s="103"/>
    </row>
    <row r="267">
      <c r="A267" s="104"/>
      <c r="B267" s="11"/>
      <c r="C267" s="103"/>
    </row>
    <row r="268">
      <c r="A268" s="104"/>
      <c r="B268" s="11"/>
      <c r="C268" s="103"/>
    </row>
    <row r="269">
      <c r="A269" s="104"/>
      <c r="B269" s="11"/>
      <c r="C269" s="103"/>
    </row>
    <row r="270">
      <c r="A270" s="104"/>
      <c r="B270" s="11"/>
      <c r="C270" s="103"/>
    </row>
    <row r="271">
      <c r="A271" s="104"/>
      <c r="B271" s="11"/>
      <c r="C271" s="103"/>
    </row>
    <row r="272">
      <c r="A272" s="104"/>
      <c r="B272" s="11"/>
      <c r="C272" s="103"/>
    </row>
    <row r="273">
      <c r="A273" s="104"/>
      <c r="B273" s="11"/>
      <c r="C273" s="103"/>
    </row>
    <row r="274">
      <c r="A274" s="104"/>
      <c r="B274" s="11"/>
      <c r="C274" s="103"/>
    </row>
    <row r="275">
      <c r="A275" s="104"/>
      <c r="B275" s="11"/>
      <c r="C275" s="103"/>
    </row>
    <row r="276">
      <c r="A276" s="104"/>
      <c r="B276" s="11"/>
      <c r="C276" s="103"/>
    </row>
    <row r="277">
      <c r="A277" s="104"/>
      <c r="B277" s="11"/>
      <c r="C277" s="103"/>
    </row>
    <row r="278">
      <c r="A278" s="104"/>
      <c r="B278" s="11"/>
      <c r="C278" s="103"/>
    </row>
    <row r="279">
      <c r="A279" s="104"/>
      <c r="B279" s="11"/>
      <c r="C279" s="103"/>
    </row>
    <row r="280">
      <c r="A280" s="104"/>
      <c r="B280" s="11"/>
      <c r="C280" s="103"/>
    </row>
    <row r="281">
      <c r="A281" s="104"/>
      <c r="B281" s="11"/>
      <c r="C281" s="103"/>
    </row>
    <row r="282">
      <c r="A282" s="104"/>
      <c r="B282" s="11"/>
      <c r="C282" s="103"/>
    </row>
    <row r="283">
      <c r="A283" s="104"/>
      <c r="B283" s="11"/>
      <c r="C283" s="103"/>
    </row>
    <row r="284">
      <c r="A284" s="104"/>
      <c r="B284" s="11"/>
      <c r="C284" s="103"/>
    </row>
    <row r="285">
      <c r="A285" s="104"/>
      <c r="B285" s="11"/>
      <c r="C285" s="103"/>
    </row>
    <row r="286">
      <c r="A286" s="104"/>
      <c r="B286" s="11"/>
      <c r="C286" s="103"/>
    </row>
    <row r="287">
      <c r="A287" s="104"/>
      <c r="B287" s="11"/>
      <c r="C287" s="103"/>
    </row>
    <row r="288">
      <c r="A288" s="104"/>
      <c r="B288" s="11"/>
      <c r="C288" s="103"/>
    </row>
    <row r="289">
      <c r="A289" s="104"/>
      <c r="B289" s="11"/>
      <c r="C289" s="103"/>
    </row>
    <row r="290">
      <c r="A290" s="104"/>
      <c r="B290" s="11"/>
      <c r="C290" s="103"/>
    </row>
    <row r="291">
      <c r="A291" s="104"/>
      <c r="B291" s="11"/>
      <c r="C291" s="103"/>
    </row>
    <row r="292">
      <c r="A292" s="104"/>
      <c r="B292" s="11"/>
      <c r="C292" s="103"/>
    </row>
    <row r="293">
      <c r="A293" s="104"/>
      <c r="B293" s="11"/>
      <c r="C293" s="103"/>
    </row>
    <row r="294">
      <c r="A294" s="104"/>
      <c r="B294" s="11"/>
      <c r="C294" s="103"/>
    </row>
    <row r="295">
      <c r="A295" s="104"/>
      <c r="B295" s="11"/>
      <c r="C295" s="103"/>
    </row>
    <row r="296">
      <c r="A296" s="104"/>
      <c r="B296" s="11"/>
      <c r="C296" s="103"/>
    </row>
    <row r="297">
      <c r="A297" s="104"/>
      <c r="B297" s="11"/>
      <c r="C297" s="103"/>
    </row>
    <row r="298">
      <c r="A298" s="104"/>
      <c r="B298" s="11"/>
      <c r="C298" s="103"/>
    </row>
    <row r="299">
      <c r="A299" s="104"/>
      <c r="B299" s="11"/>
      <c r="C299" s="103"/>
    </row>
    <row r="300">
      <c r="A300" s="104"/>
      <c r="B300" s="11"/>
      <c r="C300" s="103"/>
    </row>
    <row r="301">
      <c r="A301" s="104"/>
      <c r="B301" s="11"/>
      <c r="C301" s="103"/>
    </row>
    <row r="302">
      <c r="A302" s="104"/>
      <c r="B302" s="11"/>
      <c r="C302" s="103"/>
    </row>
    <row r="303">
      <c r="A303" s="104"/>
      <c r="B303" s="11"/>
      <c r="C303" s="103"/>
    </row>
    <row r="304">
      <c r="A304" s="104"/>
      <c r="B304" s="11"/>
      <c r="C304" s="103"/>
    </row>
    <row r="305">
      <c r="A305" s="104"/>
      <c r="B305" s="11"/>
      <c r="C305" s="103"/>
    </row>
    <row r="306">
      <c r="A306" s="104"/>
      <c r="B306" s="11"/>
      <c r="C306" s="103"/>
    </row>
    <row r="307">
      <c r="A307" s="104"/>
      <c r="B307" s="11"/>
      <c r="C307" s="103"/>
    </row>
    <row r="308">
      <c r="A308" s="104"/>
      <c r="B308" s="11"/>
      <c r="C308" s="103"/>
    </row>
    <row r="309">
      <c r="A309" s="104"/>
      <c r="B309" s="11"/>
      <c r="C309" s="103"/>
    </row>
    <row r="310">
      <c r="A310" s="104"/>
      <c r="B310" s="11"/>
      <c r="C310" s="103"/>
    </row>
    <row r="311">
      <c r="A311" s="104"/>
      <c r="B311" s="11"/>
      <c r="C311" s="103"/>
    </row>
    <row r="312">
      <c r="A312" s="104"/>
      <c r="B312" s="11"/>
      <c r="C312" s="103"/>
    </row>
    <row r="313">
      <c r="A313" s="104"/>
      <c r="B313" s="11"/>
      <c r="C313" s="103"/>
    </row>
    <row r="314">
      <c r="A314" s="104"/>
      <c r="B314" s="11"/>
      <c r="C314" s="103"/>
    </row>
    <row r="315">
      <c r="A315" s="104"/>
      <c r="B315" s="11"/>
      <c r="C315" s="103"/>
    </row>
    <row r="316">
      <c r="A316" s="104"/>
      <c r="B316" s="11"/>
      <c r="C316" s="103"/>
    </row>
    <row r="317">
      <c r="A317" s="104"/>
      <c r="B317" s="11"/>
      <c r="C317" s="103"/>
    </row>
    <row r="318">
      <c r="A318" s="104"/>
      <c r="B318" s="11"/>
      <c r="C318" s="103"/>
    </row>
    <row r="319">
      <c r="A319" s="104"/>
      <c r="B319" s="11"/>
      <c r="C319" s="103"/>
    </row>
    <row r="320">
      <c r="A320" s="104"/>
      <c r="B320" s="11"/>
      <c r="C320" s="103"/>
    </row>
    <row r="321">
      <c r="A321" s="104"/>
      <c r="B321" s="11"/>
      <c r="C321" s="103"/>
    </row>
    <row r="322">
      <c r="A322" s="104"/>
      <c r="B322" s="11"/>
      <c r="C322" s="103"/>
    </row>
    <row r="323">
      <c r="A323" s="104"/>
      <c r="B323" s="11"/>
      <c r="C323" s="103"/>
    </row>
    <row r="324">
      <c r="A324" s="104"/>
      <c r="B324" s="11"/>
      <c r="C324" s="103"/>
    </row>
    <row r="325">
      <c r="A325" s="104"/>
      <c r="B325" s="11"/>
      <c r="C325" s="103"/>
    </row>
    <row r="326">
      <c r="A326" s="104"/>
      <c r="B326" s="11"/>
      <c r="C326" s="103"/>
    </row>
    <row r="327">
      <c r="A327" s="104"/>
      <c r="B327" s="11"/>
      <c r="C327" s="103"/>
    </row>
    <row r="328">
      <c r="A328" s="104"/>
      <c r="B328" s="11"/>
      <c r="C328" s="103"/>
    </row>
    <row r="329">
      <c r="A329" s="104"/>
      <c r="B329" s="11"/>
      <c r="C329" s="103"/>
    </row>
    <row r="330">
      <c r="A330" s="104"/>
      <c r="B330" s="11"/>
      <c r="C330" s="103"/>
    </row>
    <row r="331">
      <c r="A331" s="104"/>
      <c r="B331" s="11"/>
      <c r="C331" s="103"/>
    </row>
    <row r="332">
      <c r="A332" s="104"/>
      <c r="B332" s="11"/>
      <c r="C332" s="103"/>
    </row>
    <row r="333">
      <c r="A333" s="104"/>
      <c r="B333" s="11"/>
      <c r="C333" s="103"/>
    </row>
    <row r="334">
      <c r="A334" s="104"/>
      <c r="B334" s="11"/>
      <c r="C334" s="103"/>
    </row>
    <row r="335">
      <c r="A335" s="104"/>
      <c r="B335" s="11"/>
      <c r="C335" s="103"/>
    </row>
    <row r="336">
      <c r="A336" s="104"/>
      <c r="B336" s="11"/>
      <c r="C336" s="103"/>
    </row>
    <row r="337">
      <c r="A337" s="104"/>
      <c r="B337" s="11"/>
      <c r="C337" s="103"/>
    </row>
    <row r="338">
      <c r="A338" s="104"/>
      <c r="B338" s="11"/>
      <c r="C338" s="103"/>
    </row>
    <row r="339">
      <c r="A339" s="104"/>
      <c r="B339" s="11"/>
      <c r="C339" s="103"/>
    </row>
    <row r="340">
      <c r="A340" s="104"/>
      <c r="B340" s="11"/>
      <c r="C340" s="103"/>
    </row>
    <row r="341">
      <c r="A341" s="104"/>
      <c r="B341" s="11"/>
      <c r="C341" s="103"/>
    </row>
    <row r="342">
      <c r="A342" s="104"/>
      <c r="B342" s="11"/>
      <c r="C342" s="103"/>
    </row>
    <row r="343">
      <c r="A343" s="104"/>
      <c r="B343" s="11"/>
      <c r="C343" s="103"/>
    </row>
    <row r="344">
      <c r="A344" s="104"/>
      <c r="B344" s="11"/>
      <c r="C344" s="103"/>
    </row>
    <row r="345">
      <c r="A345" s="104"/>
      <c r="B345" s="11"/>
      <c r="C345" s="103"/>
    </row>
    <row r="346">
      <c r="A346" s="104"/>
      <c r="B346" s="11"/>
      <c r="C346" s="103"/>
    </row>
    <row r="347">
      <c r="A347" s="104"/>
      <c r="B347" s="11"/>
      <c r="C347" s="103"/>
    </row>
    <row r="348">
      <c r="A348" s="104"/>
      <c r="B348" s="11"/>
      <c r="C348" s="103"/>
    </row>
    <row r="349">
      <c r="A349" s="104"/>
      <c r="B349" s="11"/>
      <c r="C349" s="103"/>
    </row>
    <row r="350">
      <c r="A350" s="104"/>
      <c r="B350" s="11"/>
      <c r="C350" s="103"/>
    </row>
    <row r="351">
      <c r="A351" s="104"/>
      <c r="B351" s="11"/>
      <c r="C351" s="103"/>
    </row>
    <row r="352">
      <c r="A352" s="104"/>
      <c r="B352" s="11"/>
      <c r="C352" s="103"/>
    </row>
    <row r="353">
      <c r="A353" s="104"/>
      <c r="B353" s="11"/>
      <c r="C353" s="103"/>
    </row>
    <row r="354">
      <c r="A354" s="104"/>
      <c r="B354" s="11"/>
      <c r="C354" s="103"/>
    </row>
    <row r="355">
      <c r="A355" s="104"/>
      <c r="B355" s="11"/>
      <c r="C355" s="103"/>
    </row>
    <row r="356">
      <c r="A356" s="104"/>
      <c r="B356" s="11"/>
      <c r="C356" s="103"/>
    </row>
    <row r="357">
      <c r="A357" s="104"/>
      <c r="B357" s="11"/>
      <c r="C357" s="103"/>
    </row>
    <row r="358">
      <c r="A358" s="104"/>
      <c r="B358" s="11"/>
      <c r="C358" s="103"/>
    </row>
    <row r="359">
      <c r="A359" s="104"/>
      <c r="B359" s="11"/>
      <c r="C359" s="103"/>
    </row>
    <row r="360">
      <c r="A360" s="104"/>
      <c r="B360" s="11"/>
      <c r="C360" s="103"/>
    </row>
    <row r="361">
      <c r="A361" s="104"/>
      <c r="B361" s="11"/>
      <c r="C361" s="103"/>
    </row>
    <row r="362">
      <c r="A362" s="104"/>
      <c r="B362" s="11"/>
      <c r="C362" s="103"/>
    </row>
    <row r="363">
      <c r="A363" s="104"/>
      <c r="B363" s="11"/>
      <c r="C363" s="103"/>
    </row>
    <row r="364">
      <c r="A364" s="104"/>
      <c r="B364" s="11"/>
      <c r="C364" s="103"/>
    </row>
    <row r="365">
      <c r="A365" s="104"/>
      <c r="B365" s="11"/>
      <c r="C365" s="103"/>
    </row>
    <row r="366">
      <c r="A366" s="104"/>
      <c r="B366" s="11"/>
      <c r="C366" s="103"/>
    </row>
    <row r="367">
      <c r="A367" s="104"/>
      <c r="B367" s="11"/>
      <c r="C367" s="103"/>
    </row>
    <row r="368">
      <c r="A368" s="104"/>
      <c r="B368" s="11"/>
      <c r="C368" s="103"/>
    </row>
    <row r="369">
      <c r="A369" s="104"/>
      <c r="B369" s="11"/>
      <c r="C369" s="103"/>
    </row>
    <row r="370">
      <c r="A370" s="104"/>
      <c r="B370" s="11"/>
      <c r="C370" s="103"/>
    </row>
    <row r="371">
      <c r="A371" s="104"/>
      <c r="B371" s="11"/>
      <c r="C371" s="103"/>
    </row>
    <row r="372">
      <c r="A372" s="104"/>
      <c r="B372" s="11"/>
      <c r="C372" s="103"/>
    </row>
    <row r="373">
      <c r="A373" s="104"/>
      <c r="B373" s="11"/>
      <c r="C373" s="103"/>
    </row>
    <row r="374">
      <c r="A374" s="104"/>
      <c r="B374" s="11"/>
      <c r="C374" s="103"/>
    </row>
    <row r="375">
      <c r="A375" s="104"/>
      <c r="B375" s="11"/>
      <c r="C375" s="103"/>
    </row>
    <row r="376">
      <c r="A376" s="104"/>
      <c r="B376" s="11"/>
      <c r="C376" s="103"/>
    </row>
    <row r="377">
      <c r="A377" s="104"/>
      <c r="B377" s="11"/>
      <c r="C377" s="103"/>
    </row>
    <row r="378">
      <c r="A378" s="104"/>
      <c r="B378" s="11"/>
      <c r="C378" s="103"/>
    </row>
    <row r="379">
      <c r="A379" s="104"/>
      <c r="B379" s="11"/>
      <c r="C379" s="103"/>
    </row>
    <row r="380">
      <c r="A380" s="104"/>
      <c r="B380" s="11"/>
      <c r="C380" s="103"/>
    </row>
    <row r="381">
      <c r="A381" s="104"/>
      <c r="B381" s="11"/>
      <c r="C381" s="103"/>
    </row>
    <row r="382">
      <c r="A382" s="104"/>
      <c r="B382" s="11"/>
      <c r="C382" s="103"/>
    </row>
    <row r="383">
      <c r="A383" s="104"/>
      <c r="B383" s="11"/>
      <c r="C383" s="103"/>
    </row>
    <row r="384">
      <c r="A384" s="104"/>
      <c r="B384" s="11"/>
      <c r="C384" s="103"/>
    </row>
    <row r="385">
      <c r="A385" s="104"/>
      <c r="B385" s="11"/>
      <c r="C385" s="103"/>
    </row>
    <row r="386">
      <c r="A386" s="104"/>
      <c r="B386" s="11"/>
      <c r="C386" s="103"/>
    </row>
    <row r="387">
      <c r="A387" s="104"/>
      <c r="B387" s="11"/>
      <c r="C387" s="103"/>
    </row>
    <row r="388">
      <c r="A388" s="104"/>
      <c r="B388" s="11"/>
      <c r="C388" s="103"/>
    </row>
    <row r="389">
      <c r="A389" s="104"/>
      <c r="B389" s="11"/>
      <c r="C389" s="103"/>
    </row>
    <row r="390">
      <c r="A390" s="104"/>
      <c r="B390" s="11"/>
      <c r="C390" s="103"/>
    </row>
    <row r="391">
      <c r="A391" s="104"/>
      <c r="B391" s="11"/>
      <c r="C391" s="103"/>
    </row>
    <row r="392">
      <c r="A392" s="104"/>
      <c r="B392" s="11"/>
      <c r="C392" s="103"/>
    </row>
    <row r="393">
      <c r="A393" s="104"/>
      <c r="B393" s="11"/>
      <c r="C393" s="103"/>
    </row>
    <row r="394">
      <c r="A394" s="104"/>
      <c r="B394" s="11"/>
      <c r="C394" s="103"/>
    </row>
    <row r="395">
      <c r="A395" s="104"/>
      <c r="B395" s="11"/>
      <c r="C395" s="103"/>
    </row>
    <row r="396">
      <c r="A396" s="104"/>
      <c r="B396" s="11"/>
      <c r="C396" s="103"/>
    </row>
    <row r="397">
      <c r="A397" s="104"/>
      <c r="B397" s="11"/>
      <c r="C397" s="103"/>
    </row>
    <row r="398">
      <c r="A398" s="104"/>
      <c r="B398" s="11"/>
      <c r="C398" s="103"/>
    </row>
    <row r="399">
      <c r="A399" s="104"/>
      <c r="B399" s="11"/>
      <c r="C399" s="103"/>
    </row>
    <row r="400">
      <c r="A400" s="104"/>
      <c r="B400" s="11"/>
      <c r="C400" s="103"/>
    </row>
    <row r="401">
      <c r="A401" s="104"/>
      <c r="B401" s="11"/>
      <c r="C401" s="103"/>
    </row>
    <row r="402">
      <c r="A402" s="104"/>
      <c r="B402" s="11"/>
      <c r="C402" s="103"/>
    </row>
    <row r="403">
      <c r="A403" s="104"/>
      <c r="B403" s="11"/>
      <c r="C403" s="103"/>
    </row>
    <row r="404">
      <c r="A404" s="104"/>
      <c r="B404" s="11"/>
      <c r="C404" s="103"/>
    </row>
    <row r="405">
      <c r="A405" s="104"/>
      <c r="B405" s="11"/>
      <c r="C405" s="103"/>
    </row>
    <row r="406">
      <c r="A406" s="104"/>
      <c r="B406" s="11"/>
      <c r="C406" s="103"/>
    </row>
    <row r="407">
      <c r="A407" s="104"/>
      <c r="B407" s="11"/>
      <c r="C407" s="103"/>
    </row>
    <row r="408">
      <c r="A408" s="104"/>
      <c r="B408" s="11"/>
      <c r="C408" s="103"/>
    </row>
    <row r="409">
      <c r="A409" s="104"/>
      <c r="B409" s="11"/>
      <c r="C409" s="103"/>
    </row>
    <row r="410">
      <c r="A410" s="104"/>
      <c r="B410" s="11"/>
      <c r="C410" s="103"/>
    </row>
    <row r="411">
      <c r="A411" s="104"/>
      <c r="B411" s="11"/>
      <c r="C411" s="103"/>
    </row>
    <row r="412">
      <c r="A412" s="104"/>
      <c r="B412" s="11"/>
      <c r="C412" s="103"/>
    </row>
    <row r="413">
      <c r="A413" s="104"/>
      <c r="B413" s="11"/>
      <c r="C413" s="103"/>
    </row>
    <row r="414">
      <c r="A414" s="104"/>
      <c r="B414" s="11"/>
      <c r="C414" s="103"/>
    </row>
    <row r="415">
      <c r="A415" s="104"/>
      <c r="B415" s="11"/>
      <c r="C415" s="103"/>
    </row>
    <row r="416">
      <c r="A416" s="104"/>
      <c r="B416" s="11"/>
      <c r="C416" s="103"/>
    </row>
    <row r="417">
      <c r="A417" s="104"/>
      <c r="B417" s="11"/>
      <c r="C417" s="103"/>
    </row>
    <row r="418">
      <c r="A418" s="104"/>
      <c r="B418" s="11"/>
      <c r="C418" s="103"/>
    </row>
    <row r="419">
      <c r="A419" s="104"/>
      <c r="B419" s="11"/>
      <c r="C419" s="103"/>
    </row>
    <row r="420">
      <c r="A420" s="104"/>
      <c r="B420" s="11"/>
      <c r="C420" s="103"/>
    </row>
    <row r="421">
      <c r="A421" s="104"/>
      <c r="B421" s="11"/>
      <c r="C421" s="103"/>
    </row>
    <row r="422">
      <c r="A422" s="104"/>
      <c r="B422" s="11"/>
      <c r="C422" s="103"/>
    </row>
    <row r="423">
      <c r="A423" s="104"/>
      <c r="B423" s="11"/>
      <c r="C423" s="103"/>
    </row>
    <row r="424">
      <c r="A424" s="104"/>
      <c r="B424" s="11"/>
      <c r="C424" s="103"/>
    </row>
    <row r="425">
      <c r="A425" s="104"/>
      <c r="B425" s="11"/>
      <c r="C425" s="103"/>
    </row>
    <row r="426">
      <c r="A426" s="104"/>
      <c r="B426" s="11"/>
      <c r="C426" s="103"/>
    </row>
    <row r="427">
      <c r="A427" s="104"/>
      <c r="B427" s="11"/>
      <c r="C427" s="103"/>
    </row>
    <row r="428">
      <c r="A428" s="104"/>
      <c r="B428" s="11"/>
      <c r="C428" s="103"/>
    </row>
    <row r="429">
      <c r="A429" s="104"/>
      <c r="B429" s="11"/>
      <c r="C429" s="103"/>
    </row>
    <row r="430">
      <c r="A430" s="104"/>
      <c r="B430" s="11"/>
      <c r="C430" s="103"/>
    </row>
    <row r="431">
      <c r="A431" s="104"/>
      <c r="B431" s="11"/>
      <c r="C431" s="103"/>
    </row>
    <row r="432">
      <c r="A432" s="104"/>
      <c r="B432" s="11"/>
      <c r="C432" s="103"/>
    </row>
    <row r="433">
      <c r="A433" s="104"/>
      <c r="B433" s="11"/>
      <c r="C433" s="103"/>
    </row>
    <row r="434">
      <c r="A434" s="104"/>
      <c r="B434" s="11"/>
      <c r="C434" s="103"/>
    </row>
    <row r="435">
      <c r="A435" s="104"/>
      <c r="B435" s="11"/>
      <c r="C435" s="103"/>
    </row>
    <row r="436">
      <c r="A436" s="104"/>
      <c r="B436" s="11"/>
      <c r="C436" s="103"/>
    </row>
    <row r="437">
      <c r="A437" s="104"/>
      <c r="B437" s="11"/>
      <c r="C437" s="103"/>
    </row>
    <row r="438">
      <c r="A438" s="104"/>
      <c r="B438" s="11"/>
      <c r="C438" s="103"/>
    </row>
    <row r="439">
      <c r="A439" s="104"/>
      <c r="B439" s="11"/>
      <c r="C439" s="103"/>
    </row>
    <row r="440">
      <c r="A440" s="104"/>
      <c r="B440" s="11"/>
      <c r="C440" s="103"/>
    </row>
    <row r="441">
      <c r="A441" s="104"/>
      <c r="B441" s="11"/>
      <c r="C441" s="103"/>
    </row>
    <row r="442">
      <c r="A442" s="104"/>
      <c r="B442" s="11"/>
      <c r="C442" s="103"/>
    </row>
    <row r="443">
      <c r="A443" s="104"/>
      <c r="B443" s="11"/>
      <c r="C443" s="103"/>
    </row>
    <row r="444">
      <c r="A444" s="104"/>
      <c r="B444" s="11"/>
      <c r="C444" s="103"/>
    </row>
    <row r="445">
      <c r="A445" s="104"/>
      <c r="B445" s="11"/>
      <c r="C445" s="103"/>
    </row>
    <row r="446">
      <c r="A446" s="104"/>
      <c r="B446" s="11"/>
      <c r="C446" s="103"/>
    </row>
    <row r="447">
      <c r="A447" s="104"/>
      <c r="B447" s="11"/>
      <c r="C447" s="103"/>
    </row>
    <row r="448">
      <c r="A448" s="104"/>
      <c r="B448" s="11"/>
      <c r="C448" s="103"/>
    </row>
    <row r="449">
      <c r="A449" s="104"/>
      <c r="B449" s="11"/>
      <c r="C449" s="103"/>
    </row>
    <row r="450">
      <c r="A450" s="104"/>
      <c r="B450" s="11"/>
      <c r="C450" s="103"/>
    </row>
    <row r="451">
      <c r="A451" s="104"/>
      <c r="B451" s="11"/>
      <c r="C451" s="103"/>
    </row>
    <row r="452">
      <c r="A452" s="104"/>
      <c r="B452" s="11"/>
      <c r="C452" s="103"/>
    </row>
    <row r="453">
      <c r="A453" s="104"/>
      <c r="B453" s="11"/>
      <c r="C453" s="103"/>
    </row>
    <row r="454">
      <c r="A454" s="104"/>
      <c r="B454" s="11"/>
      <c r="C454" s="103"/>
    </row>
    <row r="455">
      <c r="A455" s="104"/>
      <c r="B455" s="11"/>
      <c r="C455" s="103"/>
    </row>
    <row r="456">
      <c r="A456" s="104"/>
      <c r="B456" s="11"/>
      <c r="C456" s="103"/>
    </row>
    <row r="457">
      <c r="A457" s="104"/>
      <c r="B457" s="11"/>
      <c r="C457" s="103"/>
    </row>
    <row r="458">
      <c r="A458" s="104"/>
      <c r="B458" s="11"/>
      <c r="C458" s="103"/>
    </row>
    <row r="459">
      <c r="A459" s="104"/>
      <c r="B459" s="11"/>
      <c r="C459" s="103"/>
    </row>
    <row r="460">
      <c r="A460" s="104"/>
      <c r="B460" s="11"/>
      <c r="C460" s="103"/>
    </row>
    <row r="461">
      <c r="A461" s="104"/>
      <c r="B461" s="11"/>
      <c r="C461" s="103"/>
    </row>
    <row r="462">
      <c r="A462" s="104"/>
      <c r="B462" s="11"/>
      <c r="C462" s="103"/>
    </row>
    <row r="463">
      <c r="A463" s="104"/>
      <c r="B463" s="11"/>
      <c r="C463" s="103"/>
    </row>
    <row r="464">
      <c r="A464" s="104"/>
      <c r="B464" s="11"/>
      <c r="C464" s="103"/>
    </row>
    <row r="465">
      <c r="A465" s="104"/>
      <c r="B465" s="11"/>
      <c r="C465" s="103"/>
    </row>
    <row r="466">
      <c r="A466" s="104"/>
      <c r="B466" s="11"/>
      <c r="C466" s="103"/>
    </row>
    <row r="467">
      <c r="A467" s="104"/>
      <c r="B467" s="11"/>
      <c r="C467" s="103"/>
    </row>
    <row r="468">
      <c r="A468" s="104"/>
      <c r="B468" s="11"/>
      <c r="C468" s="103"/>
    </row>
    <row r="469">
      <c r="A469" s="104"/>
      <c r="B469" s="11"/>
      <c r="C469" s="103"/>
    </row>
    <row r="470">
      <c r="A470" s="104"/>
      <c r="B470" s="11"/>
      <c r="C470" s="103"/>
    </row>
    <row r="471">
      <c r="A471" s="104"/>
      <c r="B471" s="11"/>
      <c r="C471" s="103"/>
    </row>
    <row r="472">
      <c r="A472" s="104"/>
      <c r="B472" s="11"/>
      <c r="C472" s="103"/>
    </row>
    <row r="473">
      <c r="A473" s="104"/>
      <c r="B473" s="11"/>
      <c r="C473" s="103"/>
    </row>
    <row r="474">
      <c r="A474" s="104"/>
      <c r="B474" s="11"/>
      <c r="C474" s="103"/>
    </row>
    <row r="475">
      <c r="A475" s="104"/>
      <c r="B475" s="11"/>
      <c r="C475" s="103"/>
    </row>
    <row r="476">
      <c r="A476" s="104"/>
      <c r="B476" s="11"/>
      <c r="C476" s="103"/>
    </row>
    <row r="477">
      <c r="A477" s="104"/>
      <c r="B477" s="11"/>
      <c r="C477" s="103"/>
    </row>
    <row r="478">
      <c r="A478" s="104"/>
      <c r="B478" s="11"/>
      <c r="C478" s="103"/>
    </row>
    <row r="479">
      <c r="A479" s="104"/>
      <c r="B479" s="11"/>
      <c r="C479" s="103"/>
    </row>
    <row r="480">
      <c r="A480" s="104"/>
      <c r="B480" s="11"/>
      <c r="C480" s="103"/>
    </row>
    <row r="481">
      <c r="A481" s="104"/>
      <c r="B481" s="11"/>
      <c r="C481" s="103"/>
    </row>
    <row r="482">
      <c r="A482" s="104"/>
      <c r="B482" s="11"/>
      <c r="C482" s="103"/>
    </row>
    <row r="483">
      <c r="A483" s="104"/>
      <c r="B483" s="11"/>
      <c r="C483" s="103"/>
    </row>
    <row r="484">
      <c r="A484" s="104"/>
      <c r="B484" s="11"/>
      <c r="C484" s="103"/>
    </row>
    <row r="485">
      <c r="A485" s="104"/>
      <c r="B485" s="11"/>
      <c r="C485" s="103"/>
    </row>
    <row r="486">
      <c r="A486" s="104"/>
      <c r="B486" s="11"/>
      <c r="C486" s="103"/>
    </row>
    <row r="487">
      <c r="A487" s="104"/>
      <c r="B487" s="11"/>
      <c r="C487" s="103"/>
    </row>
    <row r="488">
      <c r="A488" s="104"/>
      <c r="B488" s="11"/>
      <c r="C488" s="103"/>
    </row>
    <row r="489">
      <c r="A489" s="104"/>
      <c r="B489" s="11"/>
      <c r="C489" s="103"/>
    </row>
    <row r="490">
      <c r="A490" s="104"/>
      <c r="B490" s="11"/>
      <c r="C490" s="103"/>
    </row>
    <row r="491">
      <c r="A491" s="104"/>
      <c r="B491" s="11"/>
      <c r="C491" s="103"/>
    </row>
    <row r="492">
      <c r="A492" s="104"/>
      <c r="B492" s="11"/>
      <c r="C492" s="103"/>
    </row>
    <row r="493">
      <c r="A493" s="104"/>
      <c r="B493" s="11"/>
      <c r="C493" s="103"/>
    </row>
    <row r="494">
      <c r="A494" s="104"/>
      <c r="B494" s="11"/>
      <c r="C494" s="103"/>
    </row>
    <row r="495">
      <c r="A495" s="104"/>
      <c r="B495" s="11"/>
      <c r="C495" s="103"/>
    </row>
    <row r="496">
      <c r="A496" s="104"/>
      <c r="B496" s="11"/>
      <c r="C496" s="103"/>
    </row>
    <row r="497">
      <c r="A497" s="104"/>
      <c r="B497" s="11"/>
      <c r="C497" s="103"/>
    </row>
    <row r="498">
      <c r="A498" s="104"/>
      <c r="B498" s="11"/>
      <c r="C498" s="103"/>
    </row>
    <row r="499">
      <c r="A499" s="104"/>
      <c r="B499" s="11"/>
      <c r="C499" s="103"/>
    </row>
    <row r="500">
      <c r="A500" s="104"/>
      <c r="B500" s="11"/>
      <c r="C500" s="103"/>
    </row>
    <row r="501">
      <c r="A501" s="104"/>
      <c r="B501" s="11"/>
      <c r="C501" s="103"/>
    </row>
    <row r="502">
      <c r="A502" s="104"/>
      <c r="B502" s="11"/>
      <c r="C502" s="103"/>
    </row>
    <row r="503">
      <c r="A503" s="104"/>
      <c r="B503" s="11"/>
      <c r="C503" s="103"/>
    </row>
    <row r="504">
      <c r="A504" s="104"/>
      <c r="B504" s="11"/>
      <c r="C504" s="103"/>
    </row>
    <row r="505">
      <c r="A505" s="104"/>
      <c r="B505" s="11"/>
      <c r="C505" s="103"/>
    </row>
    <row r="506">
      <c r="A506" s="104"/>
      <c r="B506" s="11"/>
      <c r="C506" s="103"/>
    </row>
    <row r="507">
      <c r="A507" s="104"/>
      <c r="B507" s="11"/>
      <c r="C507" s="103"/>
    </row>
    <row r="508">
      <c r="A508" s="104"/>
      <c r="B508" s="11"/>
      <c r="C508" s="103"/>
    </row>
    <row r="509">
      <c r="A509" s="104"/>
      <c r="B509" s="11"/>
      <c r="C509" s="103"/>
    </row>
    <row r="510">
      <c r="A510" s="104"/>
      <c r="B510" s="11"/>
      <c r="C510" s="103"/>
    </row>
    <row r="511">
      <c r="A511" s="104"/>
      <c r="B511" s="11"/>
      <c r="C511" s="103"/>
    </row>
    <row r="512">
      <c r="A512" s="104"/>
      <c r="B512" s="11"/>
      <c r="C512" s="103"/>
    </row>
    <row r="513">
      <c r="A513" s="104"/>
      <c r="B513" s="11"/>
      <c r="C513" s="103"/>
    </row>
    <row r="514">
      <c r="A514" s="104"/>
      <c r="B514" s="11"/>
      <c r="C514" s="103"/>
    </row>
    <row r="515">
      <c r="A515" s="104"/>
      <c r="B515" s="11"/>
      <c r="C515" s="103"/>
    </row>
    <row r="516">
      <c r="A516" s="104"/>
      <c r="B516" s="11"/>
      <c r="C516" s="103"/>
    </row>
    <row r="517">
      <c r="A517" s="104"/>
      <c r="B517" s="11"/>
      <c r="C517" s="103"/>
    </row>
    <row r="518">
      <c r="A518" s="104"/>
      <c r="B518" s="11"/>
      <c r="C518" s="103"/>
    </row>
    <row r="519">
      <c r="A519" s="104"/>
      <c r="B519" s="11"/>
      <c r="C519" s="103"/>
    </row>
    <row r="520">
      <c r="A520" s="104"/>
      <c r="B520" s="11"/>
      <c r="C520" s="103"/>
    </row>
    <row r="521">
      <c r="A521" s="104"/>
      <c r="B521" s="11"/>
      <c r="C521" s="103"/>
    </row>
    <row r="522">
      <c r="A522" s="104"/>
      <c r="B522" s="11"/>
      <c r="C522" s="103"/>
    </row>
    <row r="523">
      <c r="A523" s="104"/>
      <c r="B523" s="11"/>
      <c r="C523" s="103"/>
    </row>
    <row r="524">
      <c r="A524" s="104"/>
      <c r="B524" s="11"/>
      <c r="C524" s="103"/>
    </row>
    <row r="525">
      <c r="A525" s="104"/>
      <c r="B525" s="11"/>
      <c r="C525" s="103"/>
    </row>
    <row r="526">
      <c r="A526" s="104"/>
      <c r="B526" s="11"/>
      <c r="C526" s="103"/>
    </row>
    <row r="527">
      <c r="A527" s="104"/>
      <c r="B527" s="11"/>
      <c r="C527" s="103"/>
    </row>
    <row r="528">
      <c r="A528" s="104"/>
      <c r="B528" s="11"/>
      <c r="C528" s="103"/>
    </row>
    <row r="529">
      <c r="A529" s="104"/>
      <c r="B529" s="11"/>
      <c r="C529" s="103"/>
    </row>
    <row r="530">
      <c r="A530" s="104"/>
      <c r="B530" s="11"/>
      <c r="C530" s="103"/>
    </row>
    <row r="531">
      <c r="A531" s="104"/>
      <c r="B531" s="11"/>
      <c r="C531" s="103"/>
    </row>
    <row r="532">
      <c r="A532" s="104"/>
      <c r="B532" s="11"/>
      <c r="C532" s="103"/>
    </row>
    <row r="533">
      <c r="A533" s="104"/>
      <c r="B533" s="11"/>
      <c r="C533" s="103"/>
    </row>
    <row r="534">
      <c r="A534" s="104"/>
      <c r="B534" s="11"/>
      <c r="C534" s="103"/>
    </row>
    <row r="535">
      <c r="A535" s="104"/>
      <c r="B535" s="11"/>
      <c r="C535" s="103"/>
    </row>
    <row r="536">
      <c r="A536" s="104"/>
      <c r="B536" s="11"/>
      <c r="C536" s="103"/>
    </row>
    <row r="537">
      <c r="A537" s="104"/>
      <c r="B537" s="11"/>
      <c r="C537" s="103"/>
    </row>
    <row r="538">
      <c r="A538" s="104"/>
      <c r="B538" s="11"/>
      <c r="C538" s="103"/>
    </row>
    <row r="539">
      <c r="A539" s="104"/>
      <c r="B539" s="11"/>
      <c r="C539" s="103"/>
    </row>
    <row r="540">
      <c r="A540" s="104"/>
      <c r="B540" s="11"/>
      <c r="C540" s="103"/>
    </row>
    <row r="541">
      <c r="A541" s="104"/>
      <c r="B541" s="11"/>
      <c r="C541" s="103"/>
    </row>
    <row r="542">
      <c r="A542" s="104"/>
      <c r="B542" s="11"/>
      <c r="C542" s="103"/>
    </row>
    <row r="543">
      <c r="A543" s="104"/>
      <c r="B543" s="11"/>
      <c r="C543" s="103"/>
    </row>
    <row r="544">
      <c r="A544" s="104"/>
      <c r="B544" s="11"/>
      <c r="C544" s="103"/>
    </row>
    <row r="545">
      <c r="A545" s="104"/>
      <c r="B545" s="11"/>
      <c r="C545" s="103"/>
    </row>
    <row r="546">
      <c r="A546" s="104"/>
      <c r="B546" s="11"/>
      <c r="C546" s="103"/>
    </row>
    <row r="547">
      <c r="A547" s="104"/>
      <c r="B547" s="11"/>
      <c r="C547" s="103"/>
    </row>
    <row r="548">
      <c r="A548" s="104"/>
      <c r="B548" s="11"/>
      <c r="C548" s="103"/>
    </row>
    <row r="549">
      <c r="A549" s="104"/>
      <c r="B549" s="11"/>
      <c r="C549" s="103"/>
    </row>
    <row r="550">
      <c r="A550" s="104"/>
      <c r="B550" s="11"/>
      <c r="C550" s="103"/>
    </row>
    <row r="551">
      <c r="A551" s="104"/>
      <c r="B551" s="11"/>
      <c r="C551" s="103"/>
    </row>
    <row r="552">
      <c r="A552" s="104"/>
      <c r="B552" s="11"/>
      <c r="C552" s="103"/>
    </row>
    <row r="553">
      <c r="A553" s="104"/>
      <c r="B553" s="11"/>
      <c r="C553" s="103"/>
    </row>
    <row r="554">
      <c r="A554" s="104"/>
      <c r="B554" s="11"/>
      <c r="C554" s="103"/>
    </row>
    <row r="555">
      <c r="A555" s="104"/>
      <c r="B555" s="11"/>
      <c r="C555" s="103"/>
    </row>
    <row r="556">
      <c r="A556" s="104"/>
      <c r="B556" s="11"/>
      <c r="C556" s="103"/>
    </row>
    <row r="557">
      <c r="A557" s="104"/>
      <c r="B557" s="11"/>
      <c r="C557" s="103"/>
    </row>
    <row r="558">
      <c r="A558" s="104"/>
      <c r="B558" s="11"/>
      <c r="C558" s="103"/>
    </row>
    <row r="559">
      <c r="A559" s="104"/>
      <c r="B559" s="11"/>
      <c r="C559" s="103"/>
    </row>
    <row r="560">
      <c r="A560" s="104"/>
      <c r="B560" s="11"/>
      <c r="C560" s="103"/>
    </row>
    <row r="561">
      <c r="A561" s="104"/>
      <c r="B561" s="11"/>
      <c r="C561" s="103"/>
    </row>
    <row r="562">
      <c r="A562" s="104"/>
      <c r="B562" s="11"/>
      <c r="C562" s="103"/>
    </row>
    <row r="563">
      <c r="A563" s="104"/>
      <c r="B563" s="11"/>
      <c r="C563" s="103"/>
    </row>
    <row r="564">
      <c r="A564" s="104"/>
      <c r="B564" s="11"/>
      <c r="C564" s="103"/>
    </row>
    <row r="565">
      <c r="A565" s="104"/>
      <c r="B565" s="11"/>
      <c r="C565" s="103"/>
    </row>
    <row r="566">
      <c r="A566" s="104"/>
      <c r="B566" s="11"/>
      <c r="C566" s="103"/>
    </row>
    <row r="567">
      <c r="A567" s="104"/>
      <c r="B567" s="11"/>
      <c r="C567" s="103"/>
    </row>
    <row r="568">
      <c r="A568" s="104"/>
      <c r="B568" s="11"/>
      <c r="C568" s="103"/>
    </row>
    <row r="569">
      <c r="A569" s="104"/>
      <c r="B569" s="11"/>
      <c r="C569" s="103"/>
    </row>
    <row r="570">
      <c r="A570" s="104"/>
      <c r="B570" s="11"/>
      <c r="C570" s="103"/>
    </row>
    <row r="571">
      <c r="A571" s="104"/>
      <c r="B571" s="11"/>
      <c r="C571" s="103"/>
    </row>
    <row r="572">
      <c r="A572" s="104"/>
      <c r="B572" s="11"/>
      <c r="C572" s="103"/>
    </row>
    <row r="573">
      <c r="A573" s="104"/>
      <c r="B573" s="11"/>
      <c r="C573" s="103"/>
    </row>
    <row r="574">
      <c r="A574" s="104"/>
      <c r="B574" s="11"/>
      <c r="C574" s="103"/>
    </row>
    <row r="575">
      <c r="A575" s="104"/>
      <c r="B575" s="11"/>
      <c r="C575" s="103"/>
    </row>
    <row r="576">
      <c r="A576" s="104"/>
      <c r="B576" s="11"/>
      <c r="C576" s="103"/>
    </row>
    <row r="577">
      <c r="A577" s="104"/>
      <c r="B577" s="11"/>
      <c r="C577" s="103"/>
    </row>
    <row r="578">
      <c r="A578" s="104"/>
      <c r="B578" s="11"/>
      <c r="C578" s="103"/>
    </row>
    <row r="579">
      <c r="A579" s="104"/>
      <c r="B579" s="11"/>
      <c r="C579" s="103"/>
    </row>
    <row r="580">
      <c r="A580" s="104"/>
      <c r="B580" s="11"/>
      <c r="C580" s="103"/>
    </row>
    <row r="581">
      <c r="A581" s="104"/>
      <c r="B581" s="11"/>
      <c r="C581" s="103"/>
    </row>
    <row r="582">
      <c r="A582" s="104"/>
      <c r="B582" s="11"/>
      <c r="C582" s="103"/>
    </row>
    <row r="583">
      <c r="A583" s="104"/>
      <c r="B583" s="11"/>
      <c r="C583" s="103"/>
    </row>
    <row r="584">
      <c r="A584" s="104"/>
      <c r="B584" s="11"/>
      <c r="C584" s="103"/>
    </row>
    <row r="585">
      <c r="A585" s="104"/>
      <c r="B585" s="11"/>
      <c r="C585" s="103"/>
    </row>
    <row r="586">
      <c r="A586" s="104"/>
      <c r="B586" s="11"/>
      <c r="C586" s="103"/>
    </row>
    <row r="587">
      <c r="A587" s="104"/>
      <c r="B587" s="11"/>
      <c r="C587" s="103"/>
    </row>
    <row r="588">
      <c r="A588" s="104"/>
      <c r="B588" s="11"/>
      <c r="C588" s="103"/>
    </row>
    <row r="589">
      <c r="A589" s="104"/>
      <c r="B589" s="11"/>
      <c r="C589" s="103"/>
    </row>
    <row r="590">
      <c r="A590" s="104"/>
      <c r="B590" s="11"/>
      <c r="C590" s="103"/>
    </row>
    <row r="591">
      <c r="A591" s="104"/>
      <c r="B591" s="11"/>
      <c r="C591" s="103"/>
    </row>
    <row r="592">
      <c r="A592" s="104"/>
      <c r="B592" s="11"/>
      <c r="C592" s="103"/>
    </row>
    <row r="593">
      <c r="A593" s="104"/>
      <c r="B593" s="11"/>
      <c r="C593" s="103"/>
    </row>
    <row r="594">
      <c r="A594" s="104"/>
      <c r="B594" s="11"/>
      <c r="C594" s="103"/>
    </row>
    <row r="595">
      <c r="A595" s="104"/>
      <c r="B595" s="11"/>
      <c r="C595" s="103"/>
    </row>
    <row r="596">
      <c r="A596" s="104"/>
      <c r="B596" s="11"/>
      <c r="C596" s="103"/>
    </row>
    <row r="597">
      <c r="A597" s="104"/>
      <c r="B597" s="11"/>
      <c r="C597" s="103"/>
    </row>
    <row r="598">
      <c r="A598" s="104"/>
      <c r="B598" s="11"/>
      <c r="C598" s="103"/>
    </row>
    <row r="599">
      <c r="A599" s="104"/>
      <c r="B599" s="11"/>
      <c r="C599" s="103"/>
    </row>
    <row r="600">
      <c r="A600" s="104"/>
      <c r="B600" s="11"/>
      <c r="C600" s="103"/>
    </row>
    <row r="601">
      <c r="A601" s="104"/>
      <c r="B601" s="11"/>
      <c r="C601" s="103"/>
    </row>
    <row r="602">
      <c r="A602" s="104"/>
      <c r="B602" s="11"/>
      <c r="C602" s="103"/>
    </row>
    <row r="603">
      <c r="A603" s="104"/>
      <c r="B603" s="11"/>
      <c r="C603" s="103"/>
    </row>
    <row r="604">
      <c r="A604" s="104"/>
      <c r="B604" s="11"/>
      <c r="C604" s="103"/>
    </row>
    <row r="605">
      <c r="A605" s="104"/>
      <c r="B605" s="11"/>
      <c r="C605" s="103"/>
    </row>
    <row r="606">
      <c r="A606" s="104"/>
      <c r="B606" s="11"/>
      <c r="C606" s="103"/>
    </row>
    <row r="607">
      <c r="A607" s="104"/>
      <c r="B607" s="11"/>
      <c r="C607" s="103"/>
    </row>
    <row r="608">
      <c r="A608" s="104"/>
      <c r="B608" s="11"/>
      <c r="C608" s="103"/>
    </row>
    <row r="609">
      <c r="A609" s="104"/>
      <c r="B609" s="11"/>
      <c r="C609" s="103"/>
    </row>
    <row r="610">
      <c r="A610" s="104"/>
      <c r="B610" s="11"/>
      <c r="C610" s="103"/>
    </row>
    <row r="611">
      <c r="A611" s="104"/>
      <c r="B611" s="11"/>
      <c r="C611" s="103"/>
    </row>
    <row r="612">
      <c r="A612" s="104"/>
      <c r="B612" s="11"/>
      <c r="C612" s="103"/>
    </row>
    <row r="613">
      <c r="A613" s="104"/>
      <c r="B613" s="11"/>
      <c r="C613" s="103"/>
    </row>
    <row r="614">
      <c r="A614" s="104"/>
      <c r="B614" s="11"/>
      <c r="C614" s="103"/>
    </row>
    <row r="615">
      <c r="A615" s="104"/>
      <c r="B615" s="11"/>
      <c r="C615" s="103"/>
    </row>
    <row r="616">
      <c r="A616" s="104"/>
      <c r="B616" s="11"/>
      <c r="C616" s="103"/>
    </row>
    <row r="617">
      <c r="A617" s="104"/>
      <c r="B617" s="11"/>
      <c r="C617" s="103"/>
    </row>
    <row r="618">
      <c r="A618" s="104"/>
      <c r="B618" s="11"/>
      <c r="C618" s="103"/>
    </row>
    <row r="619">
      <c r="A619" s="104"/>
      <c r="B619" s="11"/>
      <c r="C619" s="103"/>
    </row>
    <row r="620">
      <c r="A620" s="104"/>
      <c r="B620" s="11"/>
      <c r="C620" s="103"/>
    </row>
    <row r="621">
      <c r="A621" s="104"/>
      <c r="B621" s="11"/>
      <c r="C621" s="103"/>
    </row>
    <row r="622">
      <c r="A622" s="104"/>
      <c r="B622" s="11"/>
      <c r="C622" s="103"/>
    </row>
    <row r="623">
      <c r="A623" s="104"/>
      <c r="B623" s="11"/>
      <c r="C623" s="103"/>
    </row>
    <row r="624">
      <c r="A624" s="104"/>
      <c r="B624" s="11"/>
      <c r="C624" s="103"/>
    </row>
    <row r="625">
      <c r="A625" s="104"/>
      <c r="B625" s="11"/>
      <c r="C625" s="103"/>
    </row>
    <row r="626">
      <c r="A626" s="104"/>
      <c r="B626" s="11"/>
      <c r="C626" s="103"/>
    </row>
    <row r="627">
      <c r="A627" s="104"/>
      <c r="B627" s="11"/>
      <c r="C627" s="103"/>
    </row>
    <row r="628">
      <c r="A628" s="104"/>
      <c r="B628" s="11"/>
      <c r="C628" s="103"/>
    </row>
    <row r="629">
      <c r="A629" s="104"/>
      <c r="B629" s="11"/>
      <c r="C629" s="103"/>
    </row>
    <row r="630">
      <c r="A630" s="104"/>
      <c r="B630" s="11"/>
      <c r="C630" s="103"/>
    </row>
    <row r="631">
      <c r="A631" s="104"/>
      <c r="B631" s="11"/>
      <c r="C631" s="103"/>
    </row>
    <row r="632">
      <c r="A632" s="104"/>
      <c r="B632" s="11"/>
      <c r="C632" s="103"/>
    </row>
    <row r="633">
      <c r="A633" s="104"/>
      <c r="B633" s="11"/>
      <c r="C633" s="103"/>
    </row>
    <row r="634">
      <c r="A634" s="104"/>
      <c r="B634" s="11"/>
      <c r="C634" s="103"/>
    </row>
    <row r="635">
      <c r="A635" s="104"/>
      <c r="B635" s="11"/>
      <c r="C635" s="103"/>
    </row>
    <row r="636">
      <c r="A636" s="104"/>
      <c r="B636" s="11"/>
      <c r="C636" s="103"/>
    </row>
    <row r="637">
      <c r="A637" s="104"/>
      <c r="B637" s="11"/>
      <c r="C637" s="103"/>
    </row>
    <row r="638">
      <c r="A638" s="104"/>
      <c r="B638" s="11"/>
      <c r="C638" s="103"/>
    </row>
    <row r="639">
      <c r="A639" s="104"/>
      <c r="B639" s="11"/>
      <c r="C639" s="103"/>
    </row>
    <row r="640">
      <c r="A640" s="104"/>
      <c r="B640" s="11"/>
      <c r="C640" s="103"/>
    </row>
    <row r="641">
      <c r="A641" s="104"/>
      <c r="B641" s="11"/>
      <c r="C641" s="103"/>
    </row>
    <row r="642">
      <c r="A642" s="104"/>
      <c r="B642" s="11"/>
      <c r="C642" s="103"/>
    </row>
    <row r="643">
      <c r="A643" s="104"/>
      <c r="B643" s="11"/>
      <c r="C643" s="103"/>
    </row>
    <row r="644">
      <c r="A644" s="104"/>
      <c r="B644" s="11"/>
      <c r="C644" s="103"/>
    </row>
    <row r="645">
      <c r="A645" s="104"/>
      <c r="B645" s="11"/>
      <c r="C645" s="103"/>
    </row>
    <row r="646">
      <c r="A646" s="104"/>
      <c r="B646" s="11"/>
      <c r="C646" s="103"/>
    </row>
    <row r="647">
      <c r="A647" s="104"/>
      <c r="B647" s="11"/>
      <c r="C647" s="103"/>
    </row>
    <row r="648">
      <c r="A648" s="104"/>
      <c r="B648" s="11"/>
      <c r="C648" s="103"/>
    </row>
    <row r="649">
      <c r="A649" s="104"/>
      <c r="B649" s="11"/>
      <c r="C649" s="103"/>
    </row>
    <row r="650">
      <c r="A650" s="104"/>
      <c r="B650" s="11"/>
      <c r="C650" s="103"/>
    </row>
    <row r="651">
      <c r="A651" s="104"/>
      <c r="B651" s="11"/>
      <c r="C651" s="103"/>
    </row>
    <row r="652">
      <c r="A652" s="104"/>
      <c r="B652" s="11"/>
      <c r="C652" s="103"/>
    </row>
    <row r="653">
      <c r="A653" s="104"/>
      <c r="B653" s="11"/>
      <c r="C653" s="103"/>
    </row>
    <row r="654">
      <c r="A654" s="104"/>
      <c r="B654" s="11"/>
      <c r="C654" s="103"/>
    </row>
    <row r="655">
      <c r="A655" s="104"/>
      <c r="B655" s="11"/>
      <c r="C655" s="103"/>
    </row>
    <row r="656">
      <c r="A656" s="104"/>
      <c r="B656" s="11"/>
      <c r="C656" s="103"/>
    </row>
    <row r="657">
      <c r="A657" s="104"/>
      <c r="B657" s="11"/>
      <c r="C657" s="103"/>
    </row>
    <row r="658">
      <c r="A658" s="104"/>
      <c r="B658" s="11"/>
      <c r="C658" s="103"/>
    </row>
    <row r="659">
      <c r="A659" s="104"/>
      <c r="B659" s="11"/>
      <c r="C659" s="103"/>
    </row>
    <row r="660">
      <c r="A660" s="104"/>
      <c r="B660" s="11"/>
      <c r="C660" s="103"/>
    </row>
    <row r="661">
      <c r="A661" s="104"/>
      <c r="B661" s="11"/>
      <c r="C661" s="103"/>
    </row>
    <row r="662">
      <c r="A662" s="104"/>
      <c r="B662" s="11"/>
      <c r="C662" s="103"/>
    </row>
    <row r="663">
      <c r="A663" s="104"/>
      <c r="B663" s="11"/>
      <c r="C663" s="103"/>
    </row>
    <row r="664">
      <c r="A664" s="104"/>
      <c r="B664" s="11"/>
      <c r="C664" s="103"/>
    </row>
    <row r="665">
      <c r="A665" s="104"/>
      <c r="B665" s="11"/>
      <c r="C665" s="103"/>
    </row>
    <row r="666">
      <c r="A666" s="104"/>
      <c r="B666" s="11"/>
      <c r="C666" s="103"/>
    </row>
    <row r="667">
      <c r="A667" s="104"/>
      <c r="B667" s="11"/>
      <c r="C667" s="103"/>
    </row>
    <row r="668">
      <c r="A668" s="104"/>
      <c r="B668" s="11"/>
      <c r="C668" s="103"/>
    </row>
    <row r="669">
      <c r="A669" s="104"/>
      <c r="B669" s="11"/>
      <c r="C669" s="103"/>
    </row>
    <row r="670">
      <c r="A670" s="104"/>
      <c r="B670" s="11"/>
      <c r="C670" s="103"/>
    </row>
    <row r="671">
      <c r="A671" s="104"/>
      <c r="B671" s="11"/>
      <c r="C671" s="103"/>
    </row>
    <row r="672">
      <c r="A672" s="104"/>
      <c r="B672" s="11"/>
      <c r="C672" s="103"/>
    </row>
    <row r="673">
      <c r="A673" s="104"/>
      <c r="B673" s="11"/>
      <c r="C673" s="103"/>
    </row>
    <row r="674">
      <c r="A674" s="104"/>
      <c r="B674" s="11"/>
      <c r="C674" s="103"/>
    </row>
    <row r="675">
      <c r="A675" s="104"/>
      <c r="B675" s="11"/>
      <c r="C675" s="103"/>
    </row>
    <row r="676">
      <c r="A676" s="104"/>
      <c r="B676" s="11"/>
      <c r="C676" s="103"/>
    </row>
    <row r="677">
      <c r="A677" s="104"/>
      <c r="B677" s="11"/>
      <c r="C677" s="103"/>
    </row>
    <row r="678">
      <c r="A678" s="104"/>
      <c r="B678" s="11"/>
      <c r="C678" s="103"/>
    </row>
    <row r="679">
      <c r="A679" s="104"/>
      <c r="B679" s="11"/>
      <c r="C679" s="103"/>
    </row>
    <row r="680">
      <c r="A680" s="104"/>
      <c r="B680" s="11"/>
      <c r="C680" s="103"/>
    </row>
    <row r="681">
      <c r="A681" s="104"/>
      <c r="B681" s="11"/>
      <c r="C681" s="103"/>
    </row>
    <row r="682">
      <c r="A682" s="104"/>
      <c r="B682" s="11"/>
      <c r="C682" s="103"/>
    </row>
    <row r="683">
      <c r="A683" s="104"/>
      <c r="B683" s="11"/>
      <c r="C683" s="103"/>
    </row>
    <row r="684">
      <c r="A684" s="104"/>
      <c r="B684" s="11"/>
      <c r="C684" s="103"/>
    </row>
    <row r="685">
      <c r="A685" s="104"/>
      <c r="B685" s="11"/>
      <c r="C685" s="103"/>
    </row>
    <row r="686">
      <c r="A686" s="104"/>
      <c r="B686" s="11"/>
      <c r="C686" s="103"/>
    </row>
    <row r="687">
      <c r="A687" s="104"/>
      <c r="B687" s="11"/>
      <c r="C687" s="103"/>
    </row>
    <row r="688">
      <c r="A688" s="104"/>
      <c r="B688" s="11"/>
      <c r="C688" s="103"/>
    </row>
    <row r="689">
      <c r="A689" s="104"/>
      <c r="B689" s="11"/>
      <c r="C689" s="103"/>
    </row>
    <row r="690">
      <c r="A690" s="104"/>
      <c r="B690" s="11"/>
      <c r="C690" s="103"/>
    </row>
    <row r="691">
      <c r="A691" s="104"/>
      <c r="B691" s="11"/>
      <c r="C691" s="103"/>
    </row>
    <row r="692">
      <c r="A692" s="104"/>
      <c r="B692" s="11"/>
      <c r="C692" s="103"/>
    </row>
    <row r="693">
      <c r="A693" s="104"/>
      <c r="B693" s="11"/>
      <c r="C693" s="103"/>
    </row>
    <row r="694">
      <c r="A694" s="104"/>
      <c r="B694" s="11"/>
      <c r="C694" s="103"/>
    </row>
    <row r="695">
      <c r="A695" s="104"/>
      <c r="B695" s="11"/>
      <c r="C695" s="103"/>
    </row>
    <row r="696">
      <c r="A696" s="104"/>
      <c r="B696" s="11"/>
      <c r="C696" s="103"/>
    </row>
    <row r="697">
      <c r="A697" s="104"/>
      <c r="B697" s="11"/>
      <c r="C697" s="103"/>
    </row>
    <row r="698">
      <c r="A698" s="104"/>
      <c r="B698" s="11"/>
      <c r="C698" s="103"/>
    </row>
    <row r="699">
      <c r="A699" s="104"/>
      <c r="B699" s="11"/>
      <c r="C699" s="103"/>
    </row>
    <row r="700">
      <c r="A700" s="104"/>
      <c r="B700" s="11"/>
      <c r="C700" s="103"/>
    </row>
    <row r="701">
      <c r="A701" s="104"/>
      <c r="B701" s="11"/>
      <c r="C701" s="103"/>
    </row>
    <row r="702">
      <c r="A702" s="104"/>
      <c r="B702" s="11"/>
      <c r="C702" s="103"/>
    </row>
    <row r="703">
      <c r="A703" s="104"/>
      <c r="B703" s="11"/>
      <c r="C703" s="103"/>
    </row>
    <row r="704">
      <c r="A704" s="104"/>
      <c r="B704" s="11"/>
      <c r="C704" s="103"/>
    </row>
    <row r="705">
      <c r="A705" s="104"/>
      <c r="B705" s="11"/>
      <c r="C705" s="103"/>
    </row>
    <row r="706">
      <c r="A706" s="104"/>
      <c r="B706" s="11"/>
      <c r="C706" s="103"/>
    </row>
    <row r="707">
      <c r="A707" s="104"/>
      <c r="B707" s="11"/>
      <c r="C707" s="103"/>
    </row>
    <row r="708">
      <c r="A708" s="104"/>
      <c r="B708" s="11"/>
      <c r="C708" s="103"/>
    </row>
    <row r="709">
      <c r="A709" s="104"/>
      <c r="B709" s="11"/>
      <c r="C709" s="103"/>
    </row>
    <row r="710">
      <c r="A710" s="104"/>
      <c r="B710" s="11"/>
      <c r="C710" s="103"/>
    </row>
    <row r="711">
      <c r="A711" s="104"/>
      <c r="B711" s="11"/>
      <c r="C711" s="103"/>
    </row>
    <row r="712">
      <c r="A712" s="104"/>
      <c r="B712" s="11"/>
      <c r="C712" s="103"/>
    </row>
    <row r="713">
      <c r="A713" s="104"/>
      <c r="B713" s="11"/>
      <c r="C713" s="103"/>
    </row>
    <row r="714">
      <c r="A714" s="104"/>
      <c r="B714" s="11"/>
      <c r="C714" s="103"/>
    </row>
    <row r="715">
      <c r="A715" s="104"/>
      <c r="B715" s="11"/>
      <c r="C715" s="103"/>
    </row>
    <row r="716">
      <c r="A716" s="104"/>
      <c r="B716" s="11"/>
      <c r="C716" s="103"/>
    </row>
    <row r="717">
      <c r="A717" s="104"/>
      <c r="B717" s="11"/>
      <c r="C717" s="103"/>
    </row>
    <row r="718">
      <c r="A718" s="104"/>
      <c r="B718" s="11"/>
      <c r="C718" s="103"/>
    </row>
    <row r="719">
      <c r="A719" s="104"/>
      <c r="B719" s="11"/>
      <c r="C719" s="103"/>
    </row>
    <row r="720">
      <c r="A720" s="104"/>
      <c r="B720" s="11"/>
      <c r="C720" s="103"/>
    </row>
    <row r="721">
      <c r="A721" s="104"/>
      <c r="B721" s="11"/>
      <c r="C721" s="103"/>
    </row>
    <row r="722">
      <c r="A722" s="104"/>
      <c r="B722" s="11"/>
      <c r="C722" s="103"/>
    </row>
    <row r="723">
      <c r="A723" s="104"/>
      <c r="B723" s="11"/>
      <c r="C723" s="103"/>
    </row>
    <row r="724">
      <c r="A724" s="104"/>
      <c r="B724" s="11"/>
      <c r="C724" s="103"/>
    </row>
    <row r="725">
      <c r="A725" s="104"/>
      <c r="B725" s="11"/>
      <c r="C725" s="103"/>
    </row>
    <row r="726">
      <c r="A726" s="104"/>
      <c r="B726" s="11"/>
      <c r="C726" s="103"/>
    </row>
    <row r="727">
      <c r="A727" s="104"/>
      <c r="B727" s="11"/>
      <c r="C727" s="103"/>
    </row>
    <row r="728">
      <c r="A728" s="104"/>
      <c r="B728" s="11"/>
      <c r="C728" s="103"/>
    </row>
    <row r="729">
      <c r="A729" s="104"/>
      <c r="B729" s="11"/>
      <c r="C729" s="103"/>
    </row>
    <row r="730">
      <c r="A730" s="104"/>
      <c r="B730" s="11"/>
      <c r="C730" s="103"/>
    </row>
    <row r="731">
      <c r="A731" s="104"/>
      <c r="B731" s="11"/>
      <c r="C731" s="103"/>
    </row>
    <row r="732">
      <c r="A732" s="104"/>
      <c r="B732" s="11"/>
      <c r="C732" s="103"/>
    </row>
    <row r="733">
      <c r="A733" s="104"/>
      <c r="B733" s="11"/>
      <c r="C733" s="103"/>
    </row>
    <row r="734">
      <c r="A734" s="104"/>
      <c r="B734" s="11"/>
      <c r="C734" s="103"/>
    </row>
    <row r="735">
      <c r="A735" s="104"/>
      <c r="B735" s="11"/>
      <c r="C735" s="103"/>
    </row>
    <row r="736">
      <c r="A736" s="104"/>
      <c r="B736" s="11"/>
      <c r="C736" s="103"/>
    </row>
    <row r="737">
      <c r="A737" s="104"/>
      <c r="B737" s="11"/>
      <c r="C737" s="103"/>
    </row>
    <row r="738">
      <c r="A738" s="104"/>
      <c r="B738" s="11"/>
      <c r="C738" s="103"/>
    </row>
    <row r="739">
      <c r="A739" s="104"/>
      <c r="B739" s="11"/>
      <c r="C739" s="103"/>
    </row>
    <row r="740">
      <c r="A740" s="104"/>
      <c r="B740" s="11"/>
      <c r="C740" s="103"/>
    </row>
    <row r="741">
      <c r="A741" s="104"/>
      <c r="B741" s="11"/>
      <c r="C741" s="103"/>
    </row>
    <row r="742">
      <c r="A742" s="104"/>
      <c r="B742" s="11"/>
      <c r="C742" s="103"/>
    </row>
    <row r="743">
      <c r="A743" s="104"/>
      <c r="B743" s="11"/>
      <c r="C743" s="103"/>
    </row>
    <row r="744">
      <c r="A744" s="104"/>
      <c r="B744" s="11"/>
      <c r="C744" s="103"/>
    </row>
    <row r="745">
      <c r="A745" s="104"/>
      <c r="B745" s="11"/>
      <c r="C745" s="103"/>
    </row>
    <row r="746">
      <c r="A746" s="104"/>
      <c r="B746" s="11"/>
      <c r="C746" s="103"/>
    </row>
    <row r="747">
      <c r="A747" s="104"/>
      <c r="B747" s="11"/>
      <c r="C747" s="103"/>
    </row>
    <row r="748">
      <c r="A748" s="104"/>
      <c r="B748" s="11"/>
      <c r="C748" s="103"/>
    </row>
    <row r="749">
      <c r="A749" s="104"/>
      <c r="B749" s="11"/>
      <c r="C749" s="103"/>
    </row>
    <row r="750">
      <c r="A750" s="104"/>
      <c r="B750" s="11"/>
      <c r="C750" s="103"/>
    </row>
    <row r="751">
      <c r="A751" s="104"/>
      <c r="B751" s="11"/>
      <c r="C751" s="103"/>
    </row>
    <row r="752">
      <c r="A752" s="104"/>
      <c r="B752" s="11"/>
      <c r="C752" s="103"/>
    </row>
    <row r="753">
      <c r="A753" s="104"/>
      <c r="B753" s="11"/>
      <c r="C753" s="103"/>
    </row>
    <row r="754">
      <c r="A754" s="104"/>
      <c r="B754" s="11"/>
      <c r="C754" s="103"/>
    </row>
    <row r="755">
      <c r="A755" s="104"/>
      <c r="B755" s="11"/>
      <c r="C755" s="103"/>
    </row>
    <row r="756">
      <c r="A756" s="104"/>
      <c r="B756" s="11"/>
      <c r="C756" s="103"/>
    </row>
    <row r="757">
      <c r="A757" s="104"/>
      <c r="B757" s="11"/>
      <c r="C757" s="103"/>
    </row>
    <row r="758">
      <c r="A758" s="104"/>
      <c r="B758" s="11"/>
      <c r="C758" s="103"/>
    </row>
    <row r="759">
      <c r="A759" s="104"/>
      <c r="B759" s="11"/>
      <c r="C759" s="103"/>
    </row>
    <row r="760">
      <c r="A760" s="104"/>
      <c r="B760" s="11"/>
      <c r="C760" s="103"/>
    </row>
    <row r="761">
      <c r="A761" s="104"/>
      <c r="B761" s="11"/>
      <c r="C761" s="103"/>
    </row>
    <row r="762">
      <c r="A762" s="104"/>
      <c r="B762" s="11"/>
      <c r="C762" s="103"/>
    </row>
    <row r="763">
      <c r="A763" s="104"/>
      <c r="B763" s="11"/>
      <c r="C763" s="103"/>
    </row>
    <row r="764">
      <c r="A764" s="104"/>
      <c r="B764" s="11"/>
      <c r="C764" s="103"/>
    </row>
    <row r="765">
      <c r="A765" s="104"/>
      <c r="B765" s="11"/>
      <c r="C765" s="103"/>
    </row>
    <row r="766">
      <c r="A766" s="104"/>
      <c r="B766" s="11"/>
      <c r="C766" s="103"/>
    </row>
    <row r="767">
      <c r="A767" s="104"/>
      <c r="B767" s="11"/>
      <c r="C767" s="103"/>
    </row>
    <row r="768">
      <c r="A768" s="104"/>
      <c r="B768" s="11"/>
      <c r="C768" s="103"/>
    </row>
    <row r="769">
      <c r="A769" s="104"/>
      <c r="B769" s="11"/>
      <c r="C769" s="103"/>
    </row>
    <row r="770">
      <c r="A770" s="104"/>
      <c r="B770" s="11"/>
      <c r="C770" s="103"/>
    </row>
    <row r="771">
      <c r="A771" s="104"/>
      <c r="B771" s="11"/>
      <c r="C771" s="103"/>
    </row>
    <row r="772">
      <c r="A772" s="104"/>
      <c r="B772" s="11"/>
      <c r="C772" s="103"/>
    </row>
    <row r="773">
      <c r="A773" s="104"/>
      <c r="B773" s="11"/>
      <c r="C773" s="103"/>
    </row>
    <row r="774">
      <c r="A774" s="104"/>
      <c r="B774" s="11"/>
      <c r="C774" s="103"/>
    </row>
    <row r="775">
      <c r="A775" s="104"/>
      <c r="B775" s="11"/>
      <c r="C775" s="103"/>
    </row>
    <row r="776">
      <c r="A776" s="104"/>
      <c r="B776" s="11"/>
      <c r="C776" s="103"/>
    </row>
    <row r="777">
      <c r="A777" s="104"/>
      <c r="B777" s="11"/>
      <c r="C777" s="103"/>
    </row>
    <row r="778">
      <c r="A778" s="104"/>
      <c r="B778" s="11"/>
      <c r="C778" s="103"/>
    </row>
    <row r="779">
      <c r="A779" s="104"/>
      <c r="B779" s="11"/>
      <c r="C779" s="103"/>
    </row>
    <row r="780">
      <c r="A780" s="104"/>
      <c r="B780" s="11"/>
      <c r="C780" s="103"/>
    </row>
    <row r="781">
      <c r="A781" s="104"/>
      <c r="B781" s="11"/>
      <c r="C781" s="103"/>
    </row>
    <row r="782">
      <c r="A782" s="104"/>
      <c r="B782" s="11"/>
      <c r="C782" s="103"/>
    </row>
    <row r="783">
      <c r="A783" s="104"/>
      <c r="B783" s="11"/>
      <c r="C783" s="103"/>
    </row>
    <row r="784">
      <c r="A784" s="104"/>
      <c r="B784" s="11"/>
      <c r="C784" s="103"/>
    </row>
    <row r="785">
      <c r="A785" s="104"/>
      <c r="B785" s="11"/>
      <c r="C785" s="103"/>
    </row>
    <row r="786">
      <c r="A786" s="104"/>
      <c r="B786" s="11"/>
      <c r="C786" s="103"/>
    </row>
    <row r="787">
      <c r="A787" s="104"/>
      <c r="B787" s="11"/>
      <c r="C787" s="103"/>
    </row>
    <row r="788">
      <c r="A788" s="104"/>
      <c r="B788" s="11"/>
      <c r="C788" s="103"/>
    </row>
    <row r="789">
      <c r="A789" s="104"/>
      <c r="B789" s="11"/>
      <c r="C789" s="103"/>
    </row>
    <row r="790">
      <c r="A790" s="104"/>
      <c r="B790" s="11"/>
      <c r="C790" s="103"/>
    </row>
    <row r="791">
      <c r="A791" s="104"/>
      <c r="B791" s="11"/>
      <c r="C791" s="103"/>
    </row>
    <row r="792">
      <c r="A792" s="104"/>
      <c r="B792" s="11"/>
      <c r="C792" s="103"/>
    </row>
    <row r="793">
      <c r="A793" s="104"/>
      <c r="B793" s="11"/>
      <c r="C793" s="103"/>
    </row>
    <row r="794">
      <c r="A794" s="104"/>
      <c r="B794" s="11"/>
      <c r="C794" s="103"/>
    </row>
    <row r="795">
      <c r="A795" s="104"/>
      <c r="B795" s="11"/>
      <c r="C795" s="103"/>
    </row>
    <row r="796">
      <c r="A796" s="104"/>
      <c r="B796" s="11"/>
      <c r="C796" s="103"/>
    </row>
    <row r="797">
      <c r="A797" s="104"/>
      <c r="B797" s="11"/>
      <c r="C797" s="103"/>
    </row>
    <row r="798">
      <c r="A798" s="104"/>
      <c r="B798" s="11"/>
      <c r="C798" s="103"/>
    </row>
    <row r="799">
      <c r="A799" s="104"/>
      <c r="B799" s="11"/>
      <c r="C799" s="103"/>
    </row>
    <row r="800">
      <c r="A800" s="104"/>
      <c r="B800" s="11"/>
      <c r="C800" s="103"/>
    </row>
    <row r="801">
      <c r="A801" s="104"/>
      <c r="B801" s="11"/>
      <c r="C801" s="103"/>
    </row>
    <row r="802">
      <c r="A802" s="104"/>
      <c r="B802" s="11"/>
      <c r="C802" s="103"/>
    </row>
    <row r="803">
      <c r="A803" s="104"/>
      <c r="B803" s="11"/>
      <c r="C803" s="103"/>
    </row>
    <row r="804">
      <c r="A804" s="104"/>
      <c r="B804" s="11"/>
      <c r="C804" s="103"/>
    </row>
    <row r="805">
      <c r="A805" s="104"/>
      <c r="B805" s="11"/>
      <c r="C805" s="103"/>
    </row>
    <row r="806">
      <c r="A806" s="104"/>
      <c r="B806" s="11"/>
      <c r="C806" s="103"/>
    </row>
    <row r="807">
      <c r="A807" s="104"/>
      <c r="B807" s="11"/>
      <c r="C807" s="103"/>
    </row>
    <row r="808">
      <c r="A808" s="104"/>
      <c r="B808" s="11"/>
      <c r="C808" s="103"/>
    </row>
    <row r="809">
      <c r="A809" s="104"/>
      <c r="B809" s="11"/>
      <c r="C809" s="103"/>
    </row>
    <row r="810">
      <c r="A810" s="104"/>
      <c r="B810" s="11"/>
      <c r="C810" s="103"/>
    </row>
    <row r="811">
      <c r="A811" s="104"/>
      <c r="B811" s="11"/>
      <c r="C811" s="103"/>
    </row>
    <row r="812">
      <c r="A812" s="104"/>
      <c r="B812" s="11"/>
      <c r="C812" s="103"/>
    </row>
    <row r="813">
      <c r="A813" s="104"/>
      <c r="B813" s="11"/>
      <c r="C813" s="103"/>
    </row>
    <row r="814">
      <c r="A814" s="104"/>
      <c r="B814" s="11"/>
      <c r="C814" s="103"/>
    </row>
    <row r="815">
      <c r="A815" s="104"/>
      <c r="B815" s="11"/>
      <c r="C815" s="103"/>
    </row>
    <row r="816">
      <c r="A816" s="104"/>
      <c r="B816" s="11"/>
      <c r="C816" s="103"/>
    </row>
    <row r="817">
      <c r="A817" s="104"/>
      <c r="B817" s="11"/>
      <c r="C817" s="103"/>
    </row>
    <row r="818">
      <c r="A818" s="104"/>
      <c r="B818" s="11"/>
      <c r="C818" s="103"/>
    </row>
    <row r="819">
      <c r="A819" s="104"/>
      <c r="B819" s="11"/>
      <c r="C819" s="103"/>
    </row>
    <row r="820">
      <c r="A820" s="104"/>
      <c r="B820" s="11"/>
      <c r="C820" s="103"/>
    </row>
    <row r="821">
      <c r="A821" s="104"/>
      <c r="B821" s="11"/>
      <c r="C821" s="103"/>
    </row>
    <row r="822">
      <c r="A822" s="104"/>
      <c r="B822" s="11"/>
      <c r="C822" s="103"/>
    </row>
    <row r="823">
      <c r="A823" s="104"/>
      <c r="B823" s="11"/>
      <c r="C823" s="103"/>
    </row>
    <row r="824">
      <c r="A824" s="104"/>
      <c r="B824" s="11"/>
      <c r="C824" s="103"/>
    </row>
    <row r="825">
      <c r="A825" s="104"/>
      <c r="B825" s="11"/>
      <c r="C825" s="103"/>
    </row>
    <row r="826">
      <c r="A826" s="104"/>
      <c r="B826" s="11"/>
      <c r="C826" s="103"/>
    </row>
    <row r="827">
      <c r="A827" s="104"/>
      <c r="B827" s="11"/>
      <c r="C827" s="103"/>
    </row>
    <row r="828">
      <c r="A828" s="104"/>
      <c r="B828" s="11"/>
      <c r="C828" s="103"/>
    </row>
    <row r="829">
      <c r="A829" s="104"/>
      <c r="B829" s="11"/>
      <c r="C829" s="103"/>
    </row>
    <row r="830">
      <c r="A830" s="104"/>
      <c r="B830" s="11"/>
      <c r="C830" s="103"/>
    </row>
    <row r="831">
      <c r="A831" s="104"/>
      <c r="B831" s="11"/>
      <c r="C831" s="103"/>
    </row>
    <row r="832">
      <c r="A832" s="104"/>
      <c r="B832" s="11"/>
      <c r="C832" s="103"/>
    </row>
    <row r="833">
      <c r="A833" s="104"/>
      <c r="B833" s="11"/>
      <c r="C833" s="103"/>
    </row>
    <row r="834">
      <c r="A834" s="104"/>
      <c r="B834" s="11"/>
      <c r="C834" s="103"/>
    </row>
    <row r="835">
      <c r="A835" s="104"/>
      <c r="B835" s="11"/>
      <c r="C835" s="103"/>
    </row>
    <row r="836">
      <c r="A836" s="104"/>
      <c r="B836" s="11"/>
      <c r="C836" s="103"/>
    </row>
    <row r="837">
      <c r="A837" s="104"/>
      <c r="B837" s="11"/>
      <c r="C837" s="103"/>
    </row>
    <row r="838">
      <c r="A838" s="104"/>
      <c r="B838" s="11"/>
      <c r="C838" s="103"/>
    </row>
    <row r="839">
      <c r="A839" s="104"/>
      <c r="B839" s="11"/>
      <c r="C839" s="103"/>
    </row>
    <row r="840">
      <c r="A840" s="104"/>
      <c r="B840" s="11"/>
      <c r="C840" s="103"/>
    </row>
    <row r="841">
      <c r="A841" s="104"/>
      <c r="B841" s="11"/>
      <c r="C841" s="103"/>
    </row>
    <row r="842">
      <c r="A842" s="104"/>
      <c r="B842" s="11"/>
      <c r="C842" s="103"/>
    </row>
    <row r="843">
      <c r="A843" s="104"/>
      <c r="B843" s="11"/>
      <c r="C843" s="103"/>
    </row>
    <row r="844">
      <c r="A844" s="104"/>
      <c r="B844" s="11"/>
      <c r="C844" s="103"/>
    </row>
    <row r="845">
      <c r="A845" s="104"/>
      <c r="B845" s="11"/>
      <c r="C845" s="103"/>
    </row>
    <row r="846">
      <c r="A846" s="104"/>
      <c r="B846" s="11"/>
      <c r="C846" s="103"/>
    </row>
    <row r="847">
      <c r="A847" s="104"/>
      <c r="B847" s="11"/>
      <c r="C847" s="103"/>
    </row>
    <row r="848">
      <c r="A848" s="104"/>
      <c r="B848" s="11"/>
      <c r="C848" s="103"/>
    </row>
    <row r="849">
      <c r="A849" s="104"/>
      <c r="B849" s="11"/>
      <c r="C849" s="103"/>
    </row>
    <row r="850">
      <c r="A850" s="104"/>
      <c r="B850" s="11"/>
      <c r="C850" s="103"/>
    </row>
    <row r="851">
      <c r="A851" s="104"/>
      <c r="B851" s="11"/>
      <c r="C851" s="103"/>
    </row>
    <row r="852">
      <c r="A852" s="104"/>
      <c r="B852" s="11"/>
      <c r="C852" s="103"/>
    </row>
    <row r="853">
      <c r="A853" s="104"/>
      <c r="B853" s="11"/>
      <c r="C853" s="103"/>
    </row>
    <row r="854">
      <c r="A854" s="104"/>
      <c r="B854" s="11"/>
      <c r="C854" s="103"/>
    </row>
    <row r="855">
      <c r="A855" s="104"/>
      <c r="B855" s="11"/>
      <c r="C855" s="103"/>
    </row>
    <row r="856">
      <c r="A856" s="104"/>
      <c r="B856" s="11"/>
      <c r="C856" s="103"/>
    </row>
    <row r="857">
      <c r="A857" s="104"/>
      <c r="B857" s="11"/>
      <c r="C857" s="103"/>
    </row>
    <row r="858">
      <c r="A858" s="104"/>
      <c r="B858" s="11"/>
      <c r="C858" s="103"/>
    </row>
    <row r="859">
      <c r="A859" s="104"/>
      <c r="B859" s="11"/>
      <c r="C859" s="103"/>
    </row>
    <row r="860">
      <c r="A860" s="104"/>
      <c r="B860" s="11"/>
      <c r="C860" s="103"/>
    </row>
    <row r="861">
      <c r="A861" s="104"/>
      <c r="B861" s="11"/>
      <c r="C861" s="103"/>
    </row>
    <row r="862">
      <c r="A862" s="104"/>
      <c r="B862" s="11"/>
      <c r="C862" s="103"/>
    </row>
    <row r="863">
      <c r="A863" s="104"/>
      <c r="B863" s="11"/>
      <c r="C863" s="103"/>
    </row>
    <row r="864">
      <c r="A864" s="104"/>
      <c r="B864" s="11"/>
      <c r="C864" s="103"/>
    </row>
    <row r="865">
      <c r="A865" s="104"/>
      <c r="B865" s="11"/>
      <c r="C865" s="103"/>
    </row>
    <row r="866">
      <c r="A866" s="104"/>
      <c r="B866" s="11"/>
      <c r="C866" s="103"/>
    </row>
    <row r="867">
      <c r="A867" s="104"/>
      <c r="B867" s="11"/>
      <c r="C867" s="103"/>
    </row>
    <row r="868">
      <c r="A868" s="104"/>
      <c r="B868" s="11"/>
      <c r="C868" s="103"/>
    </row>
    <row r="869">
      <c r="A869" s="104"/>
      <c r="B869" s="11"/>
      <c r="C869" s="103"/>
    </row>
    <row r="870">
      <c r="A870" s="104"/>
      <c r="B870" s="11"/>
      <c r="C870" s="103"/>
    </row>
    <row r="871">
      <c r="A871" s="104"/>
      <c r="B871" s="11"/>
      <c r="C871" s="103"/>
    </row>
    <row r="872">
      <c r="A872" s="104"/>
      <c r="B872" s="11"/>
      <c r="C872" s="103"/>
    </row>
    <row r="873">
      <c r="A873" s="104"/>
      <c r="B873" s="11"/>
      <c r="C873" s="103"/>
    </row>
    <row r="874">
      <c r="A874" s="104"/>
      <c r="B874" s="11"/>
      <c r="C874" s="103"/>
    </row>
    <row r="875">
      <c r="A875" s="104"/>
      <c r="B875" s="11"/>
      <c r="C875" s="103"/>
    </row>
    <row r="876">
      <c r="A876" s="104"/>
      <c r="B876" s="11"/>
      <c r="C876" s="103"/>
    </row>
    <row r="877">
      <c r="A877" s="104"/>
      <c r="B877" s="11"/>
      <c r="C877" s="103"/>
    </row>
    <row r="878">
      <c r="A878" s="104"/>
      <c r="B878" s="11"/>
      <c r="C878" s="103"/>
    </row>
    <row r="879">
      <c r="A879" s="104"/>
      <c r="B879" s="11"/>
      <c r="C879" s="103"/>
    </row>
    <row r="880">
      <c r="A880" s="104"/>
      <c r="B880" s="11"/>
      <c r="C880" s="103"/>
    </row>
    <row r="881">
      <c r="A881" s="104"/>
      <c r="B881" s="11"/>
      <c r="C881" s="103"/>
    </row>
    <row r="882">
      <c r="A882" s="104"/>
      <c r="B882" s="11"/>
      <c r="C882" s="103"/>
    </row>
    <row r="883">
      <c r="A883" s="104"/>
      <c r="B883" s="11"/>
      <c r="C883" s="103"/>
    </row>
    <row r="884">
      <c r="A884" s="104"/>
      <c r="B884" s="11"/>
      <c r="C884" s="103"/>
    </row>
    <row r="885">
      <c r="A885" s="104"/>
      <c r="B885" s="11"/>
      <c r="C885" s="103"/>
    </row>
    <row r="886">
      <c r="A886" s="104"/>
      <c r="B886" s="11"/>
      <c r="C886" s="103"/>
    </row>
    <row r="887">
      <c r="A887" s="104"/>
      <c r="B887" s="11"/>
      <c r="C887" s="103"/>
    </row>
    <row r="888">
      <c r="A888" s="104"/>
      <c r="B888" s="11"/>
      <c r="C888" s="103"/>
    </row>
    <row r="889">
      <c r="A889" s="104"/>
      <c r="B889" s="11"/>
      <c r="C889" s="103"/>
    </row>
    <row r="890">
      <c r="A890" s="104"/>
      <c r="B890" s="11"/>
      <c r="C890" s="103"/>
    </row>
    <row r="891">
      <c r="A891" s="104"/>
      <c r="B891" s="11"/>
      <c r="C891" s="103"/>
    </row>
    <row r="892">
      <c r="A892" s="104"/>
      <c r="B892" s="11"/>
      <c r="C892" s="103"/>
    </row>
    <row r="893">
      <c r="A893" s="104"/>
      <c r="B893" s="11"/>
      <c r="C893" s="103"/>
    </row>
    <row r="894">
      <c r="A894" s="104"/>
      <c r="B894" s="11"/>
      <c r="C894" s="103"/>
    </row>
    <row r="895">
      <c r="A895" s="104"/>
      <c r="B895" s="11"/>
      <c r="C895" s="103"/>
    </row>
    <row r="896">
      <c r="A896" s="104"/>
      <c r="B896" s="11"/>
      <c r="C896" s="103"/>
    </row>
    <row r="897">
      <c r="A897" s="104"/>
      <c r="B897" s="11"/>
      <c r="C897" s="103"/>
    </row>
    <row r="898">
      <c r="A898" s="104"/>
      <c r="B898" s="11"/>
      <c r="C898" s="103"/>
    </row>
    <row r="899">
      <c r="A899" s="104"/>
      <c r="B899" s="11"/>
      <c r="C899" s="103"/>
    </row>
    <row r="900">
      <c r="A900" s="104"/>
      <c r="B900" s="11"/>
      <c r="C900" s="103"/>
    </row>
    <row r="901">
      <c r="A901" s="104"/>
      <c r="B901" s="11"/>
      <c r="C901" s="103"/>
    </row>
    <row r="902">
      <c r="A902" s="104"/>
      <c r="B902" s="11"/>
      <c r="C902" s="103"/>
    </row>
    <row r="903">
      <c r="A903" s="104"/>
      <c r="B903" s="11"/>
      <c r="C903" s="103"/>
    </row>
    <row r="904">
      <c r="A904" s="104"/>
      <c r="B904" s="11"/>
      <c r="C904" s="103"/>
    </row>
    <row r="905">
      <c r="A905" s="104"/>
      <c r="B905" s="11"/>
      <c r="C905" s="103"/>
    </row>
    <row r="906">
      <c r="A906" s="104"/>
      <c r="B906" s="11"/>
      <c r="C906" s="103"/>
    </row>
    <row r="907">
      <c r="A907" s="104"/>
      <c r="B907" s="11"/>
      <c r="C907" s="103"/>
    </row>
    <row r="908">
      <c r="A908" s="104"/>
      <c r="B908" s="11"/>
      <c r="C908" s="103"/>
    </row>
    <row r="909">
      <c r="A909" s="104"/>
      <c r="B909" s="11"/>
      <c r="C909" s="103"/>
    </row>
    <row r="910">
      <c r="A910" s="104"/>
      <c r="B910" s="11"/>
      <c r="C910" s="103"/>
    </row>
    <row r="911">
      <c r="A911" s="104"/>
      <c r="B911" s="11"/>
      <c r="C911" s="103"/>
    </row>
    <row r="912">
      <c r="A912" s="104"/>
      <c r="B912" s="11"/>
      <c r="C912" s="103"/>
    </row>
    <row r="913">
      <c r="A913" s="104"/>
      <c r="B913" s="11"/>
      <c r="C913" s="103"/>
    </row>
    <row r="914">
      <c r="A914" s="104"/>
      <c r="B914" s="11"/>
      <c r="C914" s="103"/>
    </row>
    <row r="915">
      <c r="A915" s="104"/>
      <c r="B915" s="11"/>
      <c r="C915" s="103"/>
    </row>
    <row r="916">
      <c r="A916" s="104"/>
      <c r="B916" s="11"/>
      <c r="C916" s="103"/>
    </row>
    <row r="917">
      <c r="A917" s="104"/>
      <c r="B917" s="11"/>
      <c r="C917" s="103"/>
    </row>
    <row r="918">
      <c r="A918" s="104"/>
      <c r="B918" s="11"/>
      <c r="C918" s="103"/>
    </row>
    <row r="919">
      <c r="A919" s="104"/>
      <c r="B919" s="11"/>
      <c r="C919" s="103"/>
    </row>
    <row r="920">
      <c r="A920" s="104"/>
      <c r="B920" s="11"/>
      <c r="C920" s="103"/>
    </row>
    <row r="921">
      <c r="A921" s="104"/>
      <c r="B921" s="11"/>
      <c r="C921" s="103"/>
    </row>
    <row r="922">
      <c r="A922" s="104"/>
      <c r="B922" s="11"/>
      <c r="C922" s="103"/>
    </row>
    <row r="923">
      <c r="A923" s="104"/>
      <c r="B923" s="11"/>
      <c r="C923" s="103"/>
    </row>
    <row r="924">
      <c r="A924" s="104"/>
      <c r="B924" s="11"/>
      <c r="C924" s="103"/>
    </row>
    <row r="925">
      <c r="A925" s="104"/>
      <c r="B925" s="11"/>
      <c r="C925" s="103"/>
    </row>
    <row r="926">
      <c r="A926" s="104"/>
      <c r="B926" s="11"/>
      <c r="C926" s="103"/>
    </row>
    <row r="927">
      <c r="A927" s="104"/>
      <c r="B927" s="11"/>
      <c r="C927" s="103"/>
    </row>
    <row r="928">
      <c r="A928" s="104"/>
      <c r="B928" s="11"/>
      <c r="C928" s="103"/>
    </row>
    <row r="929">
      <c r="A929" s="104"/>
      <c r="B929" s="11"/>
      <c r="C929" s="103"/>
    </row>
    <row r="930">
      <c r="A930" s="104"/>
      <c r="B930" s="11"/>
      <c r="C930" s="103"/>
    </row>
    <row r="931">
      <c r="A931" s="104"/>
      <c r="B931" s="11"/>
      <c r="C931" s="103"/>
    </row>
    <row r="932">
      <c r="A932" s="104"/>
      <c r="B932" s="11"/>
      <c r="C932" s="103"/>
    </row>
    <row r="933">
      <c r="A933" s="104"/>
      <c r="B933" s="11"/>
      <c r="C933" s="103"/>
    </row>
    <row r="934">
      <c r="A934" s="104"/>
      <c r="B934" s="11"/>
      <c r="C934" s="103"/>
    </row>
    <row r="935">
      <c r="A935" s="104"/>
      <c r="B935" s="11"/>
      <c r="C935" s="103"/>
    </row>
    <row r="936">
      <c r="A936" s="104"/>
      <c r="B936" s="11"/>
      <c r="C936" s="103"/>
    </row>
    <row r="937">
      <c r="A937" s="104"/>
      <c r="B937" s="11"/>
      <c r="C937" s="103"/>
    </row>
    <row r="938">
      <c r="A938" s="104"/>
      <c r="B938" s="11"/>
      <c r="C938" s="103"/>
    </row>
    <row r="939">
      <c r="A939" s="104"/>
      <c r="B939" s="11"/>
      <c r="C939" s="103"/>
    </row>
    <row r="940">
      <c r="A940" s="104"/>
      <c r="B940" s="11"/>
      <c r="C940" s="103"/>
    </row>
    <row r="941">
      <c r="A941" s="104"/>
      <c r="B941" s="11"/>
      <c r="C941" s="103"/>
    </row>
    <row r="942">
      <c r="A942" s="104"/>
      <c r="B942" s="11"/>
      <c r="C942" s="103"/>
    </row>
    <row r="943">
      <c r="A943" s="104"/>
      <c r="B943" s="11"/>
      <c r="C943" s="103"/>
    </row>
    <row r="944">
      <c r="A944" s="104"/>
      <c r="B944" s="11"/>
      <c r="C944" s="103"/>
    </row>
    <row r="945">
      <c r="A945" s="104"/>
      <c r="B945" s="11"/>
      <c r="C945" s="103"/>
    </row>
    <row r="946">
      <c r="A946" s="104"/>
      <c r="B946" s="11"/>
      <c r="C946" s="103"/>
    </row>
    <row r="947">
      <c r="A947" s="104"/>
      <c r="B947" s="11"/>
      <c r="C947" s="103"/>
    </row>
    <row r="948">
      <c r="A948" s="104"/>
      <c r="B948" s="11"/>
      <c r="C948" s="103"/>
    </row>
    <row r="949">
      <c r="A949" s="104"/>
      <c r="B949" s="11"/>
      <c r="C949" s="103"/>
    </row>
    <row r="950">
      <c r="A950" s="104"/>
      <c r="B950" s="11"/>
      <c r="C950" s="103"/>
    </row>
    <row r="951">
      <c r="A951" s="104"/>
      <c r="B951" s="11"/>
      <c r="C951" s="103"/>
    </row>
    <row r="952">
      <c r="A952" s="104"/>
      <c r="B952" s="11"/>
      <c r="C952" s="103"/>
    </row>
    <row r="953">
      <c r="A953" s="104"/>
      <c r="B953" s="11"/>
      <c r="C953" s="103"/>
    </row>
    <row r="954">
      <c r="A954" s="104"/>
      <c r="B954" s="11"/>
      <c r="C954" s="103"/>
    </row>
    <row r="955">
      <c r="A955" s="104"/>
      <c r="B955" s="11"/>
      <c r="C955" s="103"/>
    </row>
    <row r="956">
      <c r="A956" s="104"/>
      <c r="B956" s="11"/>
      <c r="C956" s="103"/>
    </row>
    <row r="957">
      <c r="A957" s="104"/>
      <c r="B957" s="11"/>
      <c r="C957" s="103"/>
    </row>
    <row r="958">
      <c r="A958" s="104"/>
      <c r="B958" s="11"/>
      <c r="C958" s="103"/>
    </row>
    <row r="959">
      <c r="A959" s="104"/>
      <c r="B959" s="11"/>
      <c r="C959" s="103"/>
    </row>
    <row r="960">
      <c r="A960" s="104"/>
      <c r="B960" s="11"/>
      <c r="C960" s="103"/>
    </row>
    <row r="961">
      <c r="A961" s="104"/>
      <c r="B961" s="11"/>
      <c r="C961" s="103"/>
    </row>
    <row r="962">
      <c r="A962" s="104"/>
      <c r="B962" s="11"/>
      <c r="C962" s="103"/>
    </row>
    <row r="963">
      <c r="A963" s="104"/>
      <c r="B963" s="11"/>
      <c r="C963" s="103"/>
    </row>
    <row r="964">
      <c r="A964" s="104"/>
      <c r="B964" s="11"/>
      <c r="C964" s="103"/>
    </row>
    <row r="965">
      <c r="A965" s="104"/>
      <c r="B965" s="11"/>
      <c r="C965" s="103"/>
    </row>
    <row r="966">
      <c r="A966" s="104"/>
      <c r="B966" s="11"/>
      <c r="C966" s="103"/>
    </row>
    <row r="967">
      <c r="A967" s="104"/>
      <c r="B967" s="11"/>
      <c r="C967" s="103"/>
    </row>
    <row r="968">
      <c r="A968" s="104"/>
      <c r="B968" s="11"/>
      <c r="C968" s="103"/>
    </row>
    <row r="969">
      <c r="A969" s="104"/>
      <c r="B969" s="11"/>
      <c r="C969" s="103"/>
    </row>
    <row r="970">
      <c r="A970" s="104"/>
      <c r="B970" s="11"/>
      <c r="C970" s="103"/>
    </row>
    <row r="971">
      <c r="A971" s="104"/>
      <c r="B971" s="11"/>
      <c r="C971" s="103"/>
    </row>
    <row r="972">
      <c r="A972" s="104"/>
      <c r="B972" s="11"/>
      <c r="C972" s="103"/>
    </row>
    <row r="973">
      <c r="A973" s="104"/>
      <c r="B973" s="11"/>
      <c r="C973" s="103"/>
    </row>
    <row r="974">
      <c r="A974" s="104"/>
      <c r="B974" s="11"/>
      <c r="C974" s="103"/>
    </row>
    <row r="975">
      <c r="A975" s="104"/>
      <c r="B975" s="11"/>
      <c r="C975" s="103"/>
    </row>
    <row r="976">
      <c r="A976" s="104"/>
      <c r="B976" s="11"/>
      <c r="C976" s="103"/>
    </row>
    <row r="977">
      <c r="A977" s="104"/>
      <c r="B977" s="11"/>
      <c r="C977" s="103"/>
    </row>
    <row r="978">
      <c r="A978" s="104"/>
      <c r="B978" s="11"/>
      <c r="C978" s="103"/>
    </row>
    <row r="979">
      <c r="A979" s="104"/>
      <c r="B979" s="11"/>
      <c r="C979" s="103"/>
    </row>
    <row r="980">
      <c r="A980" s="104"/>
      <c r="B980" s="11"/>
      <c r="C980" s="103"/>
    </row>
    <row r="981">
      <c r="A981" s="104"/>
      <c r="B981" s="11"/>
      <c r="C981" s="103"/>
    </row>
    <row r="982">
      <c r="A982" s="104"/>
      <c r="B982" s="11"/>
      <c r="C982" s="103"/>
    </row>
    <row r="983">
      <c r="A983" s="104"/>
      <c r="B983" s="11"/>
      <c r="C983" s="103"/>
    </row>
    <row r="984">
      <c r="A984" s="104"/>
      <c r="B984" s="11"/>
      <c r="C984" s="103"/>
    </row>
    <row r="985">
      <c r="A985" s="104"/>
      <c r="B985" s="11"/>
      <c r="C985" s="103"/>
    </row>
    <row r="986">
      <c r="A986" s="104"/>
      <c r="B986" s="11"/>
      <c r="C986" s="103"/>
    </row>
    <row r="987">
      <c r="A987" s="104"/>
      <c r="B987" s="11"/>
      <c r="C987" s="103"/>
    </row>
    <row r="988">
      <c r="A988" s="104"/>
      <c r="B988" s="11"/>
      <c r="C988" s="103"/>
    </row>
    <row r="989">
      <c r="A989" s="104"/>
      <c r="B989" s="11"/>
      <c r="C989" s="103"/>
    </row>
    <row r="990">
      <c r="A990" s="104"/>
      <c r="B990" s="11"/>
      <c r="C990" s="103"/>
    </row>
    <row r="991">
      <c r="A991" s="104"/>
      <c r="B991" s="11"/>
      <c r="C991" s="103"/>
    </row>
    <row r="992">
      <c r="A992" s="104"/>
      <c r="B992" s="11"/>
      <c r="C992" s="103"/>
    </row>
    <row r="993">
      <c r="A993" s="104"/>
      <c r="B993" s="11"/>
      <c r="C993" s="103"/>
    </row>
    <row r="994">
      <c r="A994" s="104"/>
      <c r="B994" s="11"/>
      <c r="C994" s="103"/>
    </row>
    <row r="995">
      <c r="A995" s="104"/>
      <c r="B995" s="11"/>
      <c r="C995" s="103"/>
    </row>
    <row r="996">
      <c r="A996" s="104"/>
      <c r="B996" s="11"/>
      <c r="C996" s="103"/>
    </row>
    <row r="997">
      <c r="A997" s="104"/>
      <c r="B997" s="11"/>
      <c r="C997" s="103"/>
    </row>
    <row r="998">
      <c r="A998" s="104"/>
      <c r="B998" s="11"/>
      <c r="C998" s="103"/>
    </row>
    <row r="999">
      <c r="A999" s="104"/>
      <c r="B999" s="11"/>
      <c r="C999" s="103"/>
    </row>
    <row r="1000">
      <c r="A1000" s="104"/>
      <c r="B1000" s="11"/>
      <c r="C1000" s="103"/>
    </row>
    <row r="1001">
      <c r="A1001" s="104"/>
      <c r="B1001" s="11"/>
      <c r="C1001" s="103"/>
    </row>
    <row r="1002">
      <c r="A1002" s="104"/>
      <c r="B1002" s="11"/>
      <c r="C1002" s="103"/>
    </row>
  </sheetData>
  <drawing r:id="rId1"/>
</worksheet>
</file>